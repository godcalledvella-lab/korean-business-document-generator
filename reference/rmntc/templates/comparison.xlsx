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zsVFmSM6skki4FmavWbn394ebmjLA9NXnJmgyNJTXQ="/>
    </ext>
  </extLst>
</workbook>
</file>

<file path=xl/sharedStrings.xml><?xml version="1.0" encoding="utf-8"?>
<sst xmlns="http://schemas.openxmlformats.org/spreadsheetml/2006/main" count="34" uniqueCount="33">
  <si>
    <t>견       적       서</t>
  </si>
  <si>
    <t>등 록 번 호</t>
  </si>
  <si>
    <t>214-89-07571</t>
  </si>
  <si>
    <t>견 적 일 자 :</t>
  </si>
  <si>
    <t>2026.06.01</t>
  </si>
  <si>
    <t>상호(법인명)</t>
  </si>
  <si>
    <t>우현코퍼레이션</t>
  </si>
  <si>
    <t>성   명</t>
  </si>
  <si>
    <t>한 주 호</t>
  </si>
  <si>
    <t>회   사   명 :</t>
  </si>
  <si>
    <t>사단법인 대한궁도협회</t>
  </si>
  <si>
    <t>주   소</t>
  </si>
  <si>
    <t>부산광역시</t>
  </si>
  <si>
    <t>업   태</t>
  </si>
  <si>
    <t>제 조 업</t>
  </si>
  <si>
    <t>종   목</t>
  </si>
  <si>
    <t>OEM ODM 제조</t>
  </si>
  <si>
    <t>아래와 같이 견적 합니다.</t>
  </si>
  <si>
    <t>전 화 번 호</t>
  </si>
  <si>
    <t>010-4480-7709</t>
  </si>
  <si>
    <t>H . P</t>
  </si>
  <si>
    <t>합 계 금 액</t>
  </si>
  <si>
    <t>원정</t>
  </si>
  <si>
    <t>(VAT별도)</t>
  </si>
  <si>
    <t>품         목</t>
  </si>
  <si>
    <t>수량</t>
  </si>
  <si>
    <t>규격</t>
  </si>
  <si>
    <t>단     가</t>
  </si>
  <si>
    <t>공  급  가  액</t>
  </si>
  <si>
    <t>내  용</t>
  </si>
  <si>
    <t>모자</t>
  </si>
  <si>
    <t>ea</t>
  </si>
  <si>
    <t>T  O  T  A 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</si>
</sst>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0_ "/>
  </numFmts>
  <fonts count="18">
    <font>
      <sz val="11.0"/>
      <color rgb="FF000000"/>
      <name val="Dotum"/>
      <scheme val="minor"/>
    </font>
    <font>
      <b/>
      <sz val="26.0"/>
      <color theme="1"/>
      <name val="Gulim"/>
    </font>
    <font/>
    <font>
      <sz val="11.0"/>
      <color theme="1"/>
      <name val="Dotum"/>
    </font>
    <font>
      <sz val="11.0"/>
      <color theme="1"/>
      <name val="Gulim"/>
    </font>
    <font>
      <b/>
      <sz val="12.0"/>
      <color theme="1"/>
      <name val="Gulim"/>
    </font>
    <font>
      <b/>
      <sz val="10.0"/>
      <color theme="1"/>
      <name val="Gulim"/>
    </font>
    <font>
      <b/>
      <sz val="8.0"/>
      <color theme="1"/>
      <name val="Gulim"/>
    </font>
    <font>
      <b/>
      <sz val="13.0"/>
      <color theme="1"/>
      <name val="Gulimche"/>
    </font>
    <font>
      <sz val="10.0"/>
      <color theme="1"/>
      <name val="Gulim"/>
    </font>
    <font>
      <b/>
      <sz val="14.0"/>
      <color theme="1"/>
      <name val="Malgun Gothic"/>
    </font>
    <font>
      <b/>
      <sz val="13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0.0"/>
      <color rgb="FF000000"/>
      <name val="Malgun Gothic"/>
    </font>
    <font>
      <sz val="9.0"/>
      <color rgb="FFFF0000"/>
      <name val="Malgun Gothic"/>
    </font>
    <font>
      <b/>
      <sz val="12.0"/>
      <color theme="1"/>
      <name val="Malgun Gothic"/>
    </font>
    <font>
      <sz val="11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</fills>
  <borders count="35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4" fillId="2" fontId="4" numFmtId="0" xfId="0" applyAlignment="1" applyBorder="1" applyFont="1">
      <alignment shrinkToFit="0" vertical="center" wrapText="0"/>
    </xf>
    <xf borderId="10" fillId="2" fontId="4" numFmtId="0" xfId="0" applyAlignment="1" applyBorder="1" applyFont="1">
      <alignment horizontal="center" shrinkToFit="0" vertical="center" wrapText="0"/>
    </xf>
    <xf borderId="11" fillId="2" fontId="5" numFmtId="0" xfId="0" applyAlignment="1" applyBorder="1" applyFont="1">
      <alignment horizontal="center" readingOrder="0" shrinkToFit="0" vertical="center" wrapText="0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4" fillId="2" fontId="5" numFmtId="0" xfId="0" applyAlignment="1" applyBorder="1" applyFont="1">
      <alignment horizontal="center" shrinkToFit="0" vertical="center" wrapText="0"/>
    </xf>
    <xf borderId="14" fillId="2" fontId="4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2" fontId="4" numFmtId="0" xfId="0" applyAlignment="1" applyBorder="1" applyFont="1">
      <alignment horizontal="center" shrinkToFit="0" vertical="center" wrapText="0"/>
    </xf>
    <xf borderId="19" fillId="2" fontId="5" numFmtId="0" xfId="0" applyAlignment="1" applyBorder="1" applyFont="1">
      <alignment horizontal="center" readingOrder="0" shrinkToFit="0" vertical="center" wrapText="0"/>
    </xf>
    <xf borderId="11" fillId="2" fontId="6" numFmtId="0" xfId="0" applyAlignment="1" applyBorder="1" applyFont="1">
      <alignment horizontal="center" readingOrder="0" shrinkToFit="0" vertical="center" wrapText="0"/>
    </xf>
    <xf borderId="14" fillId="2" fontId="4" numFmtId="0" xfId="0" applyAlignment="1" applyBorder="1" applyFont="1">
      <alignment horizontal="center" shrinkToFit="0" vertical="center" wrapText="0"/>
    </xf>
    <xf borderId="19" fillId="2" fontId="7" numFmtId="0" xfId="0" applyAlignment="1" applyBorder="1" applyFont="1">
      <alignment horizontal="center" readingOrder="0" shrinkToFit="0" vertical="center" wrapText="0"/>
    </xf>
    <xf borderId="4" fillId="2" fontId="8" numFmtId="0" xfId="0" applyAlignment="1" applyBorder="1" applyFont="1">
      <alignment shrinkToFit="0" vertical="center" wrapText="0"/>
    </xf>
    <xf borderId="20" fillId="2" fontId="4" numFmtId="0" xfId="0" applyAlignment="1" applyBorder="1" applyFont="1">
      <alignment horizontal="center" shrinkToFit="0" vertical="center" wrapText="0"/>
    </xf>
    <xf borderId="21" fillId="2" fontId="6" numFmtId="0" xfId="0" applyAlignment="1" applyBorder="1" applyFont="1">
      <alignment horizontal="center" readingOrder="0" shrinkToFit="1" vertical="center" wrapText="0"/>
    </xf>
    <xf borderId="22" fillId="0" fontId="2" numFmtId="0" xfId="0" applyAlignment="1" applyBorder="1" applyFont="1">
      <alignment vertical="center"/>
    </xf>
    <xf borderId="20" fillId="2" fontId="9" numFmtId="0" xfId="0" applyAlignment="1" applyBorder="1" applyFont="1">
      <alignment horizontal="center" shrinkToFit="0" vertical="center" wrapText="0"/>
    </xf>
    <xf borderId="23" fillId="2" fontId="6" numFmtId="0" xfId="0" applyAlignment="1" applyBorder="1" applyFont="1">
      <alignment horizontal="center" readingOrder="0" shrinkToFit="0" vertical="center" wrapText="0"/>
    </xf>
    <xf borderId="20" fillId="3" fontId="10" numFmtId="0" xfId="0" applyAlignment="1" applyBorder="1" applyFill="1" applyFont="1">
      <alignment horizontal="center" shrinkToFit="0" vertical="center" wrapText="0"/>
    </xf>
    <xf borderId="21" fillId="2" fontId="10" numFmtId="3" xfId="0" applyAlignment="1" applyBorder="1" applyFont="1" applyNumberFormat="1">
      <alignment horizontal="center" readingOrder="0" shrinkToFit="0" vertical="center" wrapText="0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6" fillId="2" fontId="10" numFmtId="0" xfId="0" applyAlignment="1" applyBorder="1" applyFont="1">
      <alignment shrinkToFit="0" vertical="center" wrapText="0"/>
    </xf>
    <xf borderId="27" fillId="2" fontId="10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vertical="center"/>
    </xf>
    <xf borderId="29" fillId="3" fontId="11" numFmtId="0" xfId="0" applyAlignment="1" applyBorder="1" applyFont="1">
      <alignment horizontal="center" shrinkToFit="0" vertical="center" wrapText="0"/>
    </xf>
    <xf borderId="30" fillId="0" fontId="2" numFmtId="0" xfId="0" applyAlignment="1" applyBorder="1" applyFont="1">
      <alignment vertical="center"/>
    </xf>
    <xf borderId="31" fillId="3" fontId="11" numFmtId="0" xfId="0" applyAlignment="1" applyBorder="1" applyFont="1">
      <alignment horizontal="center" shrinkToFit="0" vertical="center" wrapText="0"/>
    </xf>
    <xf borderId="32" fillId="3" fontId="11" numFmtId="0" xfId="0" applyAlignment="1" applyBorder="1" applyFont="1">
      <alignment horizontal="center" shrinkToFit="0" vertical="center" wrapText="0"/>
    </xf>
    <xf borderId="11" fillId="2" fontId="12" numFmtId="164" xfId="0" applyAlignment="1" applyBorder="1" applyFont="1" applyNumberFormat="1">
      <alignment readingOrder="0" shrinkToFit="0" vertical="center" wrapText="0"/>
    </xf>
    <xf borderId="33" fillId="2" fontId="12" numFmtId="0" xfId="0" applyAlignment="1" applyBorder="1" applyFont="1">
      <alignment horizontal="center" readingOrder="0" shrinkToFit="0" vertical="center" wrapText="0"/>
    </xf>
    <xf borderId="33" fillId="2" fontId="12" numFmtId="0" xfId="0" applyAlignment="1" applyBorder="1" applyFont="1">
      <alignment horizontal="center" shrinkToFit="0" vertical="center" wrapText="0"/>
    </xf>
    <xf borderId="11" fillId="2" fontId="13" numFmtId="164" xfId="0" applyAlignment="1" applyBorder="1" applyFont="1" applyNumberFormat="1">
      <alignment horizontal="right" shrinkToFit="0" vertical="center" wrapText="0"/>
    </xf>
    <xf borderId="19" fillId="2" fontId="14" numFmtId="0" xfId="0" applyAlignment="1" applyBorder="1" applyFont="1">
      <alignment horizontal="center" readingOrder="0" shrinkToFit="1" vertical="center" wrapText="0"/>
    </xf>
    <xf borderId="11" fillId="2" fontId="12" numFmtId="164" xfId="0" applyAlignment="1" applyBorder="1" applyFont="1" applyNumberFormat="1">
      <alignment horizontal="center" readingOrder="0" shrinkToFit="0" vertical="center" wrapText="0"/>
    </xf>
    <xf borderId="19" fillId="2" fontId="15" numFmtId="0" xfId="0" applyAlignment="1" applyBorder="1" applyFont="1">
      <alignment horizontal="center" shrinkToFit="1" vertical="center" wrapText="0"/>
    </xf>
    <xf borderId="11" fillId="4" fontId="16" numFmtId="0" xfId="0" applyAlignment="1" applyBorder="1" applyFill="1" applyFont="1">
      <alignment horizontal="center" shrinkToFit="0" vertical="center" wrapText="0"/>
    </xf>
    <xf borderId="10" fillId="2" fontId="17" numFmtId="3" xfId="0" applyAlignment="1" applyBorder="1" applyFont="1" applyNumberFormat="1">
      <alignment shrinkToFit="0" vertical="center" wrapText="0"/>
    </xf>
    <xf borderId="10" fillId="2" fontId="17" numFmtId="165" xfId="0" applyAlignment="1" applyBorder="1" applyFont="1" applyNumberFormat="1">
      <alignment shrinkToFit="0" vertical="center" wrapText="0"/>
    </xf>
    <xf borderId="11" fillId="2" fontId="17" numFmtId="164" xfId="0" applyAlignment="1" applyBorder="1" applyFont="1" applyNumberFormat="1">
      <alignment shrinkToFit="0" vertical="center" wrapText="0"/>
    </xf>
    <xf borderId="10" fillId="2" fontId="17" numFmtId="0" xfId="0" applyAlignment="1" applyBorder="1" applyFont="1">
      <alignment shrinkToFit="0" vertical="center" wrapText="0"/>
    </xf>
    <xf borderId="34" fillId="2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7.5"/>
    <col customWidth="1" min="3" max="3" width="5.13"/>
    <col customWidth="1" min="4" max="4" width="6.5"/>
    <col customWidth="1" min="5" max="5" width="10.25"/>
    <col customWidth="1" min="6" max="6" width="5.38"/>
    <col customWidth="1" min="7" max="7" width="12.38"/>
    <col customWidth="1" min="8" max="8" width="7.63"/>
    <col customWidth="1" min="9" max="9" width="30.13"/>
    <col customWidth="1" min="10" max="26" width="8.0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7"/>
      <c r="B3" s="8"/>
      <c r="C3" s="8"/>
      <c r="D3" s="8"/>
      <c r="E3" s="8"/>
      <c r="F3" s="8"/>
      <c r="G3" s="8"/>
      <c r="H3" s="8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0"/>
      <c r="B5" s="10"/>
      <c r="C5" s="10"/>
      <c r="D5" s="10"/>
      <c r="E5" s="11" t="s">
        <v>1</v>
      </c>
      <c r="F5" s="12" t="s">
        <v>2</v>
      </c>
      <c r="G5" s="13"/>
      <c r="H5" s="13"/>
      <c r="I5" s="1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5" t="s">
        <v>3</v>
      </c>
      <c r="B6" s="16" t="s">
        <v>4</v>
      </c>
      <c r="C6" s="17"/>
      <c r="D6" s="18"/>
      <c r="E6" s="11" t="s">
        <v>5</v>
      </c>
      <c r="F6" s="12" t="s">
        <v>6</v>
      </c>
      <c r="G6" s="19"/>
      <c r="H6" s="20" t="s">
        <v>7</v>
      </c>
      <c r="I6" s="21" t="s">
        <v>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5" t="s">
        <v>9</v>
      </c>
      <c r="B7" s="16" t="s">
        <v>10</v>
      </c>
      <c r="C7" s="17"/>
      <c r="D7" s="18"/>
      <c r="E7" s="11" t="s">
        <v>11</v>
      </c>
      <c r="F7" s="22" t="s">
        <v>12</v>
      </c>
      <c r="G7" s="13"/>
      <c r="H7" s="13"/>
      <c r="I7" s="1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5"/>
      <c r="B8" s="23"/>
      <c r="C8" s="17"/>
      <c r="D8" s="18"/>
      <c r="E8" s="11" t="s">
        <v>13</v>
      </c>
      <c r="F8" s="12" t="s">
        <v>14</v>
      </c>
      <c r="G8" s="19"/>
      <c r="H8" s="20" t="s">
        <v>15</v>
      </c>
      <c r="I8" s="24" t="s">
        <v>16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25" t="s">
        <v>17</v>
      </c>
      <c r="B9" s="10"/>
      <c r="C9" s="10"/>
      <c r="D9" s="10"/>
      <c r="E9" s="26" t="s">
        <v>18</v>
      </c>
      <c r="F9" s="27" t="s">
        <v>19</v>
      </c>
      <c r="G9" s="28"/>
      <c r="H9" s="29" t="s">
        <v>20</v>
      </c>
      <c r="I9" s="30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/>
      <c r="B10" s="10"/>
      <c r="C10" s="10"/>
      <c r="D10" s="10"/>
      <c r="E10" s="10"/>
      <c r="F10" s="10"/>
      <c r="G10" s="10"/>
      <c r="H10" s="10"/>
      <c r="I10" s="1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31" t="s">
        <v>21</v>
      </c>
      <c r="B11" s="32">
        <f>(G20)</f>
        <v>500000</v>
      </c>
      <c r="C11" s="33"/>
      <c r="D11" s="33"/>
      <c r="E11" s="33"/>
      <c r="F11" s="34"/>
      <c r="G11" s="35" t="s">
        <v>22</v>
      </c>
      <c r="H11" s="36" t="s">
        <v>23</v>
      </c>
      <c r="I11" s="3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/>
      <c r="B12" s="10"/>
      <c r="C12" s="10"/>
      <c r="D12" s="10"/>
      <c r="E12" s="10"/>
      <c r="F12" s="10"/>
      <c r="G12" s="10"/>
      <c r="H12" s="10"/>
      <c r="I12" s="1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38" t="s">
        <v>24</v>
      </c>
      <c r="B13" s="39"/>
      <c r="C13" s="40" t="s">
        <v>25</v>
      </c>
      <c r="D13" s="40" t="s">
        <v>26</v>
      </c>
      <c r="E13" s="38" t="s">
        <v>27</v>
      </c>
      <c r="F13" s="39"/>
      <c r="G13" s="38" t="s">
        <v>28</v>
      </c>
      <c r="H13" s="39"/>
      <c r="I13" s="41" t="s">
        <v>29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42" t="s">
        <v>30</v>
      </c>
      <c r="B14" s="19"/>
      <c r="C14" s="43">
        <v>50.0</v>
      </c>
      <c r="D14" s="44" t="s">
        <v>31</v>
      </c>
      <c r="E14" s="42">
        <v>10000.0</v>
      </c>
      <c r="F14" s="19"/>
      <c r="G14" s="45">
        <f>C14*E14</f>
        <v>500000</v>
      </c>
      <c r="H14" s="19"/>
      <c r="I14" s="4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42"/>
      <c r="B15" s="19"/>
      <c r="C15" s="43"/>
      <c r="D15" s="44"/>
      <c r="E15" s="42"/>
      <c r="F15" s="19"/>
      <c r="G15" s="45"/>
      <c r="H15" s="19"/>
      <c r="I15" s="4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42"/>
      <c r="B16" s="19"/>
      <c r="C16" s="43"/>
      <c r="D16" s="44"/>
      <c r="E16" s="42"/>
      <c r="F16" s="19"/>
      <c r="G16" s="45"/>
      <c r="H16" s="19"/>
      <c r="I16" s="4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42"/>
      <c r="B17" s="19"/>
      <c r="C17" s="43"/>
      <c r="D17" s="44"/>
      <c r="E17" s="42"/>
      <c r="F17" s="19"/>
      <c r="G17" s="45"/>
      <c r="H17" s="19"/>
      <c r="I17" s="4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42"/>
      <c r="B18" s="19"/>
      <c r="C18" s="43"/>
      <c r="D18" s="44"/>
      <c r="E18" s="47"/>
      <c r="F18" s="19"/>
      <c r="G18" s="45"/>
      <c r="H18" s="19"/>
      <c r="I18" s="4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42"/>
      <c r="B19" s="19"/>
      <c r="C19" s="43"/>
      <c r="D19" s="44"/>
      <c r="E19" s="47"/>
      <c r="F19" s="19"/>
      <c r="G19" s="45"/>
      <c r="H19" s="19"/>
      <c r="I19" s="4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49" t="s">
        <v>32</v>
      </c>
      <c r="B20" s="19"/>
      <c r="C20" s="50"/>
      <c r="D20" s="51"/>
      <c r="E20" s="52"/>
      <c r="F20" s="19"/>
      <c r="G20" s="45">
        <f>SUM(G14:G19)</f>
        <v>500000</v>
      </c>
      <c r="H20" s="19"/>
      <c r="I20" s="53"/>
      <c r="J20" s="5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5"/>
      <c r="B21" s="8"/>
      <c r="C21" s="8"/>
      <c r="D21" s="8"/>
      <c r="E21" s="8"/>
      <c r="F21" s="8"/>
      <c r="G21" s="8"/>
      <c r="H21" s="8"/>
      <c r="I21" s="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3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3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36">
    <mergeCell ref="A1:I3"/>
    <mergeCell ref="F5:I5"/>
    <mergeCell ref="B6:D6"/>
    <mergeCell ref="F6:G6"/>
    <mergeCell ref="B7:D7"/>
    <mergeCell ref="F7:I7"/>
    <mergeCell ref="B8:D8"/>
    <mergeCell ref="A19:B19"/>
    <mergeCell ref="A20:B20"/>
    <mergeCell ref="A15:B15"/>
    <mergeCell ref="A18:B18"/>
    <mergeCell ref="A17:B17"/>
    <mergeCell ref="A16:B16"/>
    <mergeCell ref="A14:B14"/>
    <mergeCell ref="F8:G8"/>
    <mergeCell ref="F9:G9"/>
    <mergeCell ref="B11:F11"/>
    <mergeCell ref="H11:I11"/>
    <mergeCell ref="A13:B13"/>
    <mergeCell ref="G13:H13"/>
    <mergeCell ref="G14:H14"/>
    <mergeCell ref="E14:F14"/>
    <mergeCell ref="E19:F19"/>
    <mergeCell ref="E20:F20"/>
    <mergeCell ref="E18:F18"/>
    <mergeCell ref="E17:F17"/>
    <mergeCell ref="G19:H19"/>
    <mergeCell ref="G20:H20"/>
    <mergeCell ref="A21:I21"/>
    <mergeCell ref="G18:H18"/>
    <mergeCell ref="E13:F13"/>
    <mergeCell ref="G15:H15"/>
    <mergeCell ref="E15:F15"/>
    <mergeCell ref="G17:H17"/>
    <mergeCell ref="G16:H16"/>
    <mergeCell ref="E16:F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2004-12-16T03:41:15Z</dcterms:created>
  <dc:creator>ahn</dc:creator>
</cp:coreProperties>
</file>