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견적서" sheetId="1" r:id="rId4"/>
  </sheets>
  <definedNames/>
  <calcPr/>
  <extLst>
    <ext uri="GoogleSheetsCustomDataVersion2">
      <go:sheetsCustomData xmlns:go="http://customooxmlschemas.google.com/" r:id="rId5" roundtripDataChecksum="RCn7XfZ16cO2Jfu1qQwnEuT46AUHgtvrqqMwmAbTj/c="/>
    </ext>
  </extLst>
</workbook>
</file>

<file path=xl/sharedStrings.xml><?xml version="1.0" encoding="utf-8"?>
<sst xmlns="http://schemas.openxmlformats.org/spreadsheetml/2006/main" count="26" uniqueCount="26">
  <si>
    <t xml:space="preserve">견 적 서 </t>
  </si>
  <si>
    <t xml:space="preserve">DATE : </t>
  </si>
  <si>
    <t xml:space="preserve">CLIENT : </t>
  </si>
  <si>
    <t xml:space="preserve">대한궁도협회 귀하 </t>
  </si>
  <si>
    <t xml:space="preserve">PRODUCT : </t>
  </si>
  <si>
    <t xml:space="preserve">■ 상호 : 로맨틱어스    ■ 사업자번호 : 102-21-34572    ■ 주소 : 경상남도 창원시 성산구 외동반림로126번길 57, 1층    ■ 대표자 : 정성우    </t>
  </si>
  <si>
    <t>제품상세</t>
  </si>
  <si>
    <t>트로피,현수막,모자,책자,우산</t>
  </si>
  <si>
    <t>▼ 하기와 같이 견적합니다. (유효기간 : 견적일로 부터 1개월)</t>
  </si>
  <si>
    <t>합계/Total
(VAT별도)</t>
  </si>
  <si>
    <t>일금</t>
  </si>
  <si>
    <t>내용/DESCRIPTIONS</t>
  </si>
  <si>
    <t>수량/Q'TY</t>
  </si>
  <si>
    <t>단가/UNIT COST</t>
  </si>
  <si>
    <t>합계/COST</t>
  </si>
  <si>
    <t>비고/REMARKS</t>
  </si>
  <si>
    <t>트로피</t>
  </si>
  <si>
    <t>현수막 15M</t>
  </si>
  <si>
    <t>모자</t>
  </si>
  <si>
    <t>책자</t>
  </si>
  <si>
    <t>우산</t>
  </si>
  <si>
    <t xml:space="preserve"> </t>
  </si>
  <si>
    <t>소계 / SUB TOTAL</t>
  </si>
  <si>
    <t>합계 / TOTAL</t>
  </si>
  <si>
    <t>REMARK</t>
  </si>
  <si>
    <t>TEL : 010-8579-0342 / E-mail : rmntcearth@gmail.com / 계좌번호 : 신한은행 110-427-856988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</si>
</sst>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₩&quot;* #,##0_-;\-&quot;₩&quot;* #,##0_-;_-&quot;₩&quot;* &quot;-&quot;_-;_-@"/>
    <numFmt numFmtId="165" formatCode="_-* #,##0_-;\-* #,##0_-;_-* &quot;-&quot;_-;_-@"/>
  </numFmts>
  <fonts count="19">
    <font>
      <sz val="11.0"/>
      <color rgb="FF000000"/>
      <name val="Calibri"/>
      <scheme val="minor"/>
    </font>
    <font>
      <sz val="11.0"/>
      <color theme="1"/>
      <name val="Malgun Gothic"/>
    </font>
    <font>
      <sz val="10.0"/>
      <color theme="1"/>
      <name val="HY그래픽M"/>
    </font>
    <font>
      <sz val="11.0"/>
      <color theme="1"/>
      <name val="HY그래픽M"/>
    </font>
    <font>
      <b/>
      <sz val="28.0"/>
      <color theme="1"/>
      <name val="Malgun Gothic"/>
    </font>
    <font>
      <b/>
      <sz val="24.0"/>
      <color theme="1"/>
      <name val="Malgun Gothic"/>
    </font>
    <font/>
    <font>
      <b/>
      <sz val="28.0"/>
      <color rgb="FFFFFFFF"/>
      <name val="Malgun Gothic"/>
    </font>
    <font>
      <b/>
      <sz val="8.0"/>
      <color theme="1"/>
      <name val="Malgun Gothic"/>
    </font>
    <font>
      <sz val="28.0"/>
      <color theme="1"/>
      <name val="Malgun Gothic"/>
    </font>
    <font>
      <sz val="10.0"/>
      <color theme="1"/>
      <name val="Malgun Gothic"/>
    </font>
    <font>
      <b/>
      <sz val="9.0"/>
      <color theme="1"/>
      <name val="Malgun Gothic"/>
    </font>
    <font>
      <sz val="8.0"/>
      <color theme="1"/>
      <name val="Malgun Gothic"/>
    </font>
    <font>
      <b/>
      <sz val="12.0"/>
      <color theme="1"/>
      <name val="Malgun Gothic"/>
    </font>
    <font>
      <b/>
      <sz val="8.0"/>
      <color theme="1"/>
      <name val="HY그래픽M"/>
    </font>
    <font>
      <sz val="8.0"/>
      <color theme="1"/>
      <name val="HY그래픽M"/>
    </font>
    <font>
      <b/>
      <sz val="10.0"/>
      <color theme="1"/>
      <name val="Malgun Gothic"/>
    </font>
    <font>
      <b/>
      <sz val="13.0"/>
      <color rgb="FFFFFFFF"/>
      <name val="새굴림"/>
    </font>
    <font>
      <sz val="11.0"/>
      <color theme="1"/>
      <name val="새굴림"/>
    </font>
  </fonts>
  <fills count="4">
    <fill>
      <patternFill patternType="none"/>
    </fill>
    <fill>
      <patternFill patternType="lightGray"/>
    </fill>
    <fill>
      <patternFill patternType="solid">
        <fgColor rgb="FFADB9CA"/>
        <bgColor rgb="FFADB9CA"/>
      </patternFill>
    </fill>
    <fill>
      <patternFill patternType="solid">
        <fgColor rgb="FFFFE598"/>
        <bgColor rgb="FFFFE598"/>
      </patternFill>
    </fill>
  </fills>
  <borders count="34">
    <border/>
    <border>
      <left/>
      <top/>
    </border>
    <border>
      <top/>
    </border>
    <border>
      <right/>
      <top/>
    </border>
    <border>
      <bottom style="thin">
        <color rgb="FF000000"/>
      </bottom>
    </border>
    <border>
      <left/>
    </border>
    <border>
      <right/>
    </border>
    <border>
      <top style="thin">
        <color rgb="FF000000"/>
      </top>
      <bottom style="thin">
        <color rgb="FF000000"/>
      </bottom>
    </border>
    <border>
      <left/>
      <bottom/>
    </border>
    <border>
      <bottom/>
    </border>
    <border>
      <right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hair">
        <color rgb="FF000000"/>
      </right>
      <top style="medium">
        <color rgb="FF000000"/>
      </top>
    </border>
    <border>
      <left style="hair">
        <color rgb="FF000000"/>
      </left>
      <top style="medium">
        <color rgb="FF000000"/>
      </top>
    </border>
    <border>
      <top style="medium">
        <color rgb="FF000000"/>
      </top>
    </border>
    <border>
      <right style="hair">
        <color rgb="FF000000"/>
      </right>
    </border>
    <border>
      <left style="hair">
        <color rgb="FF000000"/>
      </left>
    </border>
    <border>
      <right style="hair">
        <color rgb="FF000000"/>
      </right>
      <bottom style="medium">
        <color rgb="FF000000"/>
      </bottom>
    </border>
    <border>
      <left style="hair">
        <color rgb="FF000000"/>
      </left>
      <bottom style="medium">
        <color rgb="FF000000"/>
      </bottom>
    </border>
    <border>
      <bottom style="medium">
        <color rgb="FF000000"/>
      </bottom>
    </border>
    <border>
      <left/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bottom style="medium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164" xfId="0" applyAlignment="1" applyFont="1" applyNumberFormat="1">
      <alignment vertical="center"/>
    </xf>
    <xf borderId="0" fillId="0" fontId="3" numFmtId="0" xfId="0" applyFont="1"/>
    <xf borderId="0" fillId="0" fontId="4" numFmtId="0" xfId="0" applyAlignment="1" applyFont="1">
      <alignment horizontal="center" vertical="center"/>
    </xf>
    <xf borderId="1" fillId="2" fontId="5" numFmtId="0" xfId="0" applyAlignment="1" applyBorder="1" applyFill="1" applyFont="1">
      <alignment horizontal="center" shrinkToFit="0" vertical="center" wrapText="1"/>
    </xf>
    <xf borderId="2" fillId="0" fontId="6" numFmtId="0" xfId="0" applyBorder="1" applyFont="1"/>
    <xf borderId="3" fillId="0" fontId="6" numFmtId="0" xfId="0" applyBorder="1" applyFont="1"/>
    <xf borderId="0" fillId="0" fontId="7" numFmtId="0" xfId="0" applyAlignment="1" applyFont="1">
      <alignment horizontal="center" vertical="center"/>
    </xf>
    <xf borderId="4" fillId="0" fontId="8" numFmtId="0" xfId="0" applyAlignment="1" applyBorder="1" applyFont="1">
      <alignment vertical="center"/>
    </xf>
    <xf borderId="4" fillId="0" fontId="8" numFmtId="14" xfId="0" applyAlignment="1" applyBorder="1" applyFont="1" applyNumberFormat="1">
      <alignment readingOrder="0" vertical="center"/>
    </xf>
    <xf borderId="0" fillId="0" fontId="9" numFmtId="0" xfId="0" applyAlignment="1" applyFont="1">
      <alignment horizontal="center" vertical="center"/>
    </xf>
    <xf borderId="5" fillId="0" fontId="6" numFmtId="0" xfId="0" applyBorder="1" applyFont="1"/>
    <xf borderId="6" fillId="0" fontId="6" numFmtId="0" xfId="0" applyBorder="1" applyFont="1"/>
    <xf borderId="7" fillId="0" fontId="8" numFmtId="0" xfId="0" applyAlignment="1" applyBorder="1" applyFont="1">
      <alignment vertical="center"/>
    </xf>
    <xf borderId="7" fillId="0" fontId="8" numFmtId="0" xfId="0" applyAlignment="1" applyBorder="1" applyFont="1">
      <alignment horizontal="right" vertical="center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0" fillId="0" fontId="1" numFmtId="0" xfId="0" applyAlignment="1" applyFont="1">
      <alignment vertical="center"/>
    </xf>
    <xf borderId="0" fillId="0" fontId="2" numFmtId="164" xfId="0" applyAlignment="1" applyFont="1" applyNumberFormat="1">
      <alignment horizontal="left" vertical="center"/>
    </xf>
    <xf borderId="11" fillId="0" fontId="8" numFmtId="0" xfId="0" applyAlignment="1" applyBorder="1" applyFont="1">
      <alignment horizontal="center" shrinkToFit="0" vertical="center" wrapText="1"/>
    </xf>
    <xf borderId="7" fillId="0" fontId="6" numFmtId="0" xfId="0" applyBorder="1" applyFont="1"/>
    <xf borderId="12" fillId="0" fontId="6" numFmtId="0" xfId="0" applyBorder="1" applyFont="1"/>
    <xf borderId="0" fillId="0" fontId="10" numFmtId="0" xfId="0" applyAlignment="1" applyFont="1">
      <alignment horizontal="right" vertical="center"/>
    </xf>
    <xf borderId="13" fillId="0" fontId="8" numFmtId="0" xfId="0" applyAlignment="1" applyBorder="1" applyFont="1">
      <alignment horizontal="center" shrinkToFit="0" vertical="center" wrapText="1"/>
    </xf>
    <xf borderId="14" fillId="0" fontId="11" numFmtId="0" xfId="0" applyAlignment="1" applyBorder="1" applyFont="1">
      <alignment horizontal="left" readingOrder="0" vertical="center"/>
    </xf>
    <xf borderId="15" fillId="0" fontId="6" numFmtId="0" xfId="0" applyBorder="1" applyFont="1"/>
    <xf borderId="13" fillId="0" fontId="6" numFmtId="0" xfId="0" applyBorder="1" applyFont="1"/>
    <xf borderId="16" fillId="0" fontId="6" numFmtId="0" xfId="0" applyBorder="1" applyFont="1"/>
    <xf borderId="17" fillId="0" fontId="6" numFmtId="0" xfId="0" applyBorder="1" applyFont="1"/>
    <xf borderId="18" fillId="0" fontId="6" numFmtId="0" xfId="0" applyBorder="1" applyFont="1"/>
    <xf borderId="19" fillId="0" fontId="6" numFmtId="0" xfId="0" applyBorder="1" applyFont="1"/>
    <xf borderId="20" fillId="0" fontId="6" numFmtId="0" xfId="0" applyBorder="1" applyFont="1"/>
    <xf borderId="0" fillId="0" fontId="12" numFmtId="0" xfId="0" applyAlignment="1" applyFont="1">
      <alignment horizontal="right" vertical="center"/>
    </xf>
    <xf borderId="21" fillId="3" fontId="8" numFmtId="0" xfId="0" applyAlignment="1" applyBorder="1" applyFill="1" applyFont="1">
      <alignment horizontal="center" shrinkToFit="0" vertical="center" wrapText="1"/>
    </xf>
    <xf borderId="22" fillId="3" fontId="13" numFmtId="0" xfId="0" applyAlignment="1" applyBorder="1" applyFont="1">
      <alignment horizontal="center" vertical="center"/>
    </xf>
    <xf borderId="23" fillId="3" fontId="13" numFmtId="0" xfId="0" applyAlignment="1" applyBorder="1" applyFont="1">
      <alignment horizontal="right" readingOrder="0" vertical="center"/>
    </xf>
    <xf borderId="24" fillId="0" fontId="6" numFmtId="0" xfId="0" applyBorder="1" applyFont="1"/>
    <xf borderId="25" fillId="0" fontId="6" numFmtId="0" xfId="0" applyBorder="1" applyFont="1"/>
    <xf borderId="26" fillId="3" fontId="13" numFmtId="164" xfId="0" applyAlignment="1" applyBorder="1" applyFont="1" applyNumberFormat="1">
      <alignment horizontal="center" vertical="center"/>
    </xf>
    <xf borderId="27" fillId="0" fontId="6" numFmtId="0" xfId="0" applyBorder="1" applyFont="1"/>
    <xf borderId="0" fillId="0" fontId="14" numFmtId="164" xfId="0" applyAlignment="1" applyFont="1" applyNumberFormat="1">
      <alignment horizontal="center" vertical="center"/>
    </xf>
    <xf borderId="0" fillId="0" fontId="15" numFmtId="0" xfId="0" applyFont="1"/>
    <xf borderId="20" fillId="0" fontId="8" numFmtId="0" xfId="0" applyAlignment="1" applyBorder="1" applyFont="1">
      <alignment horizontal="center" vertical="center"/>
    </xf>
    <xf borderId="28" fillId="0" fontId="8" numFmtId="0" xfId="0" applyAlignment="1" applyBorder="1" applyFont="1">
      <alignment horizontal="center" vertical="center"/>
    </xf>
    <xf borderId="19" fillId="0" fontId="8" numFmtId="0" xfId="0" applyAlignment="1" applyBorder="1" applyFont="1">
      <alignment horizontal="center" vertical="center"/>
    </xf>
    <xf borderId="0" fillId="0" fontId="15" numFmtId="164" xfId="0" applyAlignment="1" applyFont="1" applyNumberFormat="1">
      <alignment vertical="center"/>
    </xf>
    <xf borderId="29" fillId="0" fontId="10" numFmtId="0" xfId="0" applyAlignment="1" applyBorder="1" applyFont="1">
      <alignment horizontal="center" readingOrder="0" vertical="center"/>
    </xf>
    <xf borderId="30" fillId="0" fontId="10" numFmtId="0" xfId="0" applyAlignment="1" applyBorder="1" applyFont="1">
      <alignment horizontal="center" readingOrder="0" vertical="center"/>
    </xf>
    <xf borderId="29" fillId="0" fontId="6" numFmtId="0" xfId="0" applyBorder="1" applyFont="1"/>
    <xf borderId="31" fillId="0" fontId="10" numFmtId="0" xfId="0" applyAlignment="1" applyBorder="1" applyFont="1">
      <alignment horizontal="center" readingOrder="0" vertical="center"/>
    </xf>
    <xf borderId="31" fillId="0" fontId="10" numFmtId="164" xfId="0" applyAlignment="1" applyBorder="1" applyFont="1" applyNumberFormat="1">
      <alignment readingOrder="0" vertical="center"/>
    </xf>
    <xf borderId="30" fillId="0" fontId="10" numFmtId="164" xfId="0" applyAlignment="1" applyBorder="1" applyFont="1" applyNumberFormat="1">
      <alignment horizontal="center" vertical="center"/>
    </xf>
    <xf borderId="30" fillId="0" fontId="10" numFmtId="164" xfId="0" applyAlignment="1" applyBorder="1" applyFont="1" applyNumberFormat="1">
      <alignment vertical="center"/>
    </xf>
    <xf borderId="29" fillId="0" fontId="16" numFmtId="0" xfId="0" applyAlignment="1" applyBorder="1" applyFont="1">
      <alignment horizontal="center" readingOrder="0" vertical="center"/>
    </xf>
    <xf borderId="29" fillId="0" fontId="16" numFmtId="0" xfId="0" applyAlignment="1" applyBorder="1" applyFont="1">
      <alignment horizontal="center" vertical="center"/>
    </xf>
    <xf borderId="30" fillId="0" fontId="10" numFmtId="0" xfId="0" applyAlignment="1" applyBorder="1" applyFont="1">
      <alignment horizontal="center" vertical="center"/>
    </xf>
    <xf borderId="31" fillId="0" fontId="10" numFmtId="0" xfId="0" applyAlignment="1" applyBorder="1" applyFont="1">
      <alignment horizontal="center" vertical="center"/>
    </xf>
    <xf borderId="31" fillId="0" fontId="10" numFmtId="164" xfId="0" applyAlignment="1" applyBorder="1" applyFont="1" applyNumberFormat="1">
      <alignment vertical="center"/>
    </xf>
    <xf borderId="30" fillId="0" fontId="10" numFmtId="164" xfId="0" applyAlignment="1" applyBorder="1" applyFont="1" applyNumberFormat="1">
      <alignment horizontal="center" readingOrder="0" vertical="center"/>
    </xf>
    <xf borderId="24" fillId="0" fontId="16" numFmtId="0" xfId="0" applyAlignment="1" applyBorder="1" applyFont="1">
      <alignment horizontal="center" vertical="center"/>
    </xf>
    <xf borderId="32" fillId="0" fontId="8" numFmtId="0" xfId="0" applyAlignment="1" applyBorder="1" applyFont="1">
      <alignment horizontal="center" vertical="center"/>
    </xf>
    <xf borderId="32" fillId="0" fontId="8" numFmtId="164" xfId="0" applyAlignment="1" applyBorder="1" applyFont="1" applyNumberFormat="1">
      <alignment horizontal="right" vertical="center"/>
    </xf>
    <xf borderId="26" fillId="0" fontId="16" numFmtId="164" xfId="0" applyAlignment="1" applyBorder="1" applyFont="1" applyNumberFormat="1">
      <alignment horizontal="center" vertical="center"/>
    </xf>
    <xf borderId="26" fillId="0" fontId="8" numFmtId="0" xfId="0" applyAlignment="1" applyBorder="1" applyFont="1">
      <alignment vertical="center"/>
    </xf>
    <xf borderId="23" fillId="3" fontId="16" numFmtId="0" xfId="0" applyAlignment="1" applyBorder="1" applyFont="1">
      <alignment horizontal="center" vertical="center"/>
    </xf>
    <xf borderId="32" fillId="3" fontId="8" numFmtId="0" xfId="0" applyAlignment="1" applyBorder="1" applyFont="1">
      <alignment horizontal="center" vertical="center"/>
    </xf>
    <xf borderId="32" fillId="3" fontId="8" numFmtId="164" xfId="0" applyAlignment="1" applyBorder="1" applyFont="1" applyNumberFormat="1">
      <alignment horizontal="right" vertical="center"/>
    </xf>
    <xf borderId="26" fillId="3" fontId="16" numFmtId="164" xfId="0" applyAlignment="1" applyBorder="1" applyFont="1" applyNumberFormat="1">
      <alignment horizontal="center" vertical="center"/>
    </xf>
    <xf borderId="22" fillId="3" fontId="8" numFmtId="0" xfId="0" applyAlignment="1" applyBorder="1" applyFont="1">
      <alignment vertical="center"/>
    </xf>
    <xf borderId="13" fillId="0" fontId="16" numFmtId="0" xfId="0" applyAlignment="1" applyBorder="1" applyFont="1">
      <alignment horizontal="center" shrinkToFit="0" vertical="center" wrapText="1"/>
    </xf>
    <xf borderId="14" fillId="0" fontId="11" numFmtId="0" xfId="0" applyAlignment="1" applyBorder="1" applyFont="1">
      <alignment horizontal="left" shrinkToFit="0" vertical="center" wrapText="1"/>
    </xf>
    <xf borderId="33" fillId="2" fontId="16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vertical="center"/>
    </xf>
    <xf borderId="0" fillId="0" fontId="18" numFmtId="0" xfId="0" applyFont="1"/>
    <xf borderId="0" fillId="0" fontId="18" numFmtId="165" xfId="0" applyAlignment="1" applyFont="1" applyNumberFormat="1">
      <alignment vertical="center"/>
    </xf>
    <xf borderId="0" fillId="0" fontId="2" numFmtId="0" xfId="0" applyAlignment="1" applyFont="1">
      <alignment horizontal="right"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152400</xdr:colOff>
      <xdr:row>3</xdr:row>
      <xdr:rowOff>-19050</xdr:rowOff>
    </xdr:from>
    <xdr:ext cx="371475" cy="38100"/>
    <xdr:sp>
      <xdr:nvSpPr>
        <xdr:cNvPr id="3" name="Shape 3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공급자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4" name="Shape 4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5" name="Shape 5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6" name="Shape 6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7" name="Shape 7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8" name="Shape 8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9" name="Shape 9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10" name="Shape 10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11" name="Shape 11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12" name="Shape 12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13" name="Shape 13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14" name="Shape 14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15" name="Shape 15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16" name="Shape 16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17" name="Shape 17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18" name="Shape 18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19" name="Shape 19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20" name="Shape 20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21" name="Shape 21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22" name="Shape 22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23" name="Shape 23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24" name="Shape 24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25" name="Shape 25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26" name="Shape 26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27" name="Shape 27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28" name="Shape 28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29" name="Shape 29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30" name="Shape 30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31" name="Shape 31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32" name="Shape 32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33" name="Shape 33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34" name="Shape 34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35" name="Shape 35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36" name="Shape 36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37" name="Shape 37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38" name="Shape 38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39" name="Shape 39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40" name="Shape 40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41" name="Shape 41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42" name="Shape 42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43" name="Shape 43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44" name="Shape 44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45" name="Shape 45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46" name="Shape 46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47" name="Shape 47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48" name="Shape 48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49" name="Shape 49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50" name="Shape 50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51" name="Shape 51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52" name="Shape 52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53" name="Shape 53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54" name="Shape 54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55" name="Shape 55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56" name="Shape 56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57" name="Shape 57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58" name="Shape 58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59" name="Shape 59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60" name="Shape 60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61" name="Shape 61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62" name="Shape 62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63" name="Shape 63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64" name="Shape 64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65" name="Shape 65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66" name="Shape 66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67" name="Shape 67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68" name="Shape 68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69" name="Shape 69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70" name="Shape 70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71" name="Shape 71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72" name="Shape 72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73" name="Shape 73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74" name="Shape 74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75" name="Shape 75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76" name="Shape 76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77" name="Shape 77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78" name="Shape 78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79" name="Shape 79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80" name="Shape 80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81" name="Shape 81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82" name="Shape 82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83" name="Shape 83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84" name="Shape 84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85" name="Shape 85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86" name="Shape 86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87" name="Shape 87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88" name="Shape 88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89" name="Shape 89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90" name="Shape 90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91" name="Shape 91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92" name="Shape 92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93" name="Shape 93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94" name="Shape 94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95" name="Shape 95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96" name="Shape 96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97" name="Shape 97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98" name="Shape 98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99" name="Shape 99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100" name="Shape 100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101" name="Shape 101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102" name="Shape 102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103" name="Shape 103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104" name="Shape 104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105" name="Shape 105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106" name="Shape 106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107" name="Shape 107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108" name="Shape 108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109" name="Shape 109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110" name="Shape 110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3</xdr:row>
      <xdr:rowOff>-19050</xdr:rowOff>
    </xdr:from>
    <xdr:ext cx="371475" cy="38100"/>
    <xdr:sp>
      <xdr:nvSpPr>
        <xdr:cNvPr id="111" name="Shape 111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b" bIns="0" lIns="45700" spcFirstLastPara="1" rIns="0" wrap="square" tIns="0">
          <a:noAutofit/>
        </a:bodyPr>
        <a:lstStyle/>
        <a:p>
          <a:pPr indent="0" lvl="0" marL="0" rtl="0" algn="l">
            <a:lnSpc>
              <a:spcPct val="11875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공 급 자</a:t>
          </a:r>
          <a:endParaRPr sz="1400"/>
        </a:p>
      </xdr:txBody>
    </xdr:sp>
    <xdr:clientData fLocksWithSheet="0"/>
  </xdr:oneCellAnchor>
  <xdr:oneCellAnchor>
    <xdr:from>
      <xdr:col>0</xdr:col>
      <xdr:colOff>57150</xdr:colOff>
      <xdr:row>0</xdr:row>
      <xdr:rowOff>152400</xdr:rowOff>
    </xdr:from>
    <xdr:ext cx="1476375" cy="752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2.71"/>
    <col customWidth="1" min="3" max="3" width="14.29"/>
    <col customWidth="1" min="4" max="4" width="7.86"/>
    <col customWidth="1" min="5" max="5" width="12.86"/>
    <col customWidth="1" min="6" max="6" width="1.14"/>
    <col customWidth="1" min="7" max="7" width="13.71"/>
    <col customWidth="1" min="8" max="8" width="15.29"/>
    <col customWidth="1" min="9" max="9" width="12.57"/>
    <col customWidth="1" min="10" max="10" width="12.43"/>
    <col customWidth="1" min="11" max="12" width="8.86"/>
    <col customWidth="1" min="13" max="26" width="8.71"/>
  </cols>
  <sheetData>
    <row r="1" ht="15.0" customHeight="1">
      <c r="A1" s="1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0.25" customHeight="1">
      <c r="A2" s="5"/>
      <c r="B2" s="5"/>
      <c r="C2" s="6" t="s">
        <v>0</v>
      </c>
      <c r="D2" s="7"/>
      <c r="E2" s="8"/>
      <c r="F2" s="9"/>
      <c r="G2" s="10" t="s">
        <v>1</v>
      </c>
      <c r="H2" s="11">
        <v>46190.0</v>
      </c>
      <c r="I2" s="2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0.25" customHeight="1">
      <c r="A3" s="12"/>
      <c r="B3" s="12"/>
      <c r="C3" s="13"/>
      <c r="E3" s="14"/>
      <c r="F3" s="9"/>
      <c r="G3" s="15" t="s">
        <v>2</v>
      </c>
      <c r="H3" s="16" t="s">
        <v>3</v>
      </c>
      <c r="I3" s="2"/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0.25" customHeight="1">
      <c r="A4" s="12"/>
      <c r="B4" s="12"/>
      <c r="C4" s="17"/>
      <c r="D4" s="18"/>
      <c r="E4" s="19"/>
      <c r="F4" s="9"/>
      <c r="G4" s="15" t="s">
        <v>4</v>
      </c>
      <c r="H4" s="16"/>
      <c r="I4" s="2"/>
      <c r="J4" s="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3.25" customHeight="1">
      <c r="A5" s="20"/>
      <c r="B5" s="20"/>
      <c r="C5" s="20"/>
      <c r="D5" s="20"/>
      <c r="E5" s="20"/>
      <c r="F5" s="20"/>
      <c r="G5" s="20"/>
      <c r="H5" s="20"/>
      <c r="I5" s="2"/>
      <c r="J5" s="21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75" customHeight="1">
      <c r="A6" s="22" t="s">
        <v>5</v>
      </c>
      <c r="B6" s="23"/>
      <c r="C6" s="23"/>
      <c r="D6" s="23"/>
      <c r="E6" s="23"/>
      <c r="F6" s="23"/>
      <c r="G6" s="23"/>
      <c r="H6" s="24"/>
      <c r="I6" s="2"/>
      <c r="J6" s="3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6.75" customHeight="1">
      <c r="A7" s="25"/>
      <c r="I7" s="2"/>
      <c r="J7" s="3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26" t="s">
        <v>6</v>
      </c>
      <c r="B8" s="27" t="s">
        <v>7</v>
      </c>
      <c r="C8" s="28"/>
      <c r="D8" s="28"/>
      <c r="E8" s="28"/>
      <c r="F8" s="28"/>
      <c r="G8" s="28"/>
      <c r="H8" s="29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0" customHeight="1">
      <c r="A9" s="30"/>
      <c r="B9" s="31"/>
      <c r="H9" s="30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30"/>
      <c r="B10" s="31"/>
      <c r="H10" s="30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0" customHeight="1">
      <c r="A11" s="32"/>
      <c r="B11" s="33"/>
      <c r="C11" s="34"/>
      <c r="D11" s="34"/>
      <c r="E11" s="34"/>
      <c r="F11" s="34"/>
      <c r="G11" s="34"/>
      <c r="H11" s="32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35" t="s">
        <v>8</v>
      </c>
      <c r="I12" s="2"/>
      <c r="J12" s="3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6.75" customHeight="1">
      <c r="A13" s="20"/>
      <c r="B13" s="20"/>
      <c r="C13" s="20"/>
      <c r="D13" s="20"/>
      <c r="E13" s="20"/>
      <c r="F13" s="20"/>
      <c r="G13" s="20"/>
      <c r="H13" s="20"/>
      <c r="I13" s="2"/>
      <c r="J13" s="3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75" customHeight="1">
      <c r="A14" s="36" t="s">
        <v>9</v>
      </c>
      <c r="B14" s="37" t="s">
        <v>10</v>
      </c>
      <c r="C14" s="38"/>
      <c r="D14" s="39"/>
      <c r="E14" s="40"/>
      <c r="F14" s="41">
        <f>F27</f>
        <v>7291000</v>
      </c>
      <c r="G14" s="39"/>
      <c r="H14" s="42"/>
      <c r="I14" s="43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ht="24.75" customHeight="1">
      <c r="A15" s="45" t="s">
        <v>11</v>
      </c>
      <c r="B15" s="34"/>
      <c r="C15" s="32"/>
      <c r="D15" s="46" t="s">
        <v>12</v>
      </c>
      <c r="E15" s="46" t="s">
        <v>13</v>
      </c>
      <c r="F15" s="47" t="s">
        <v>14</v>
      </c>
      <c r="G15" s="32"/>
      <c r="H15" s="47" t="s">
        <v>15</v>
      </c>
      <c r="I15" s="44"/>
      <c r="J15" s="48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ht="20.25" customHeight="1">
      <c r="A16" s="49">
        <v>1.0</v>
      </c>
      <c r="B16" s="50" t="s">
        <v>16</v>
      </c>
      <c r="C16" s="51"/>
      <c r="D16" s="52">
        <v>6.0</v>
      </c>
      <c r="E16" s="53">
        <v>121000.0</v>
      </c>
      <c r="F16" s="54">
        <f t="shared" ref="F16:F20" si="1">D16*E16</f>
        <v>726000</v>
      </c>
      <c r="G16" s="51"/>
      <c r="H16" s="54"/>
      <c r="I16" s="3"/>
      <c r="J16" s="3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0.25" customHeight="1">
      <c r="A17" s="49">
        <v>2.0</v>
      </c>
      <c r="B17" s="50" t="s">
        <v>17</v>
      </c>
      <c r="C17" s="51"/>
      <c r="D17" s="52">
        <v>2.0</v>
      </c>
      <c r="E17" s="53">
        <v>330000.0</v>
      </c>
      <c r="F17" s="54">
        <f t="shared" si="1"/>
        <v>660000</v>
      </c>
      <c r="G17" s="51"/>
      <c r="H17" s="54"/>
      <c r="I17" s="3"/>
      <c r="J17" s="3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0.25" customHeight="1">
      <c r="A18" s="49">
        <v>3.0</v>
      </c>
      <c r="B18" s="50" t="s">
        <v>18</v>
      </c>
      <c r="C18" s="51"/>
      <c r="D18" s="52">
        <v>50.0</v>
      </c>
      <c r="E18" s="53">
        <v>8800.0</v>
      </c>
      <c r="F18" s="54">
        <f t="shared" si="1"/>
        <v>440000</v>
      </c>
      <c r="G18" s="51"/>
      <c r="H18" s="55"/>
      <c r="I18" s="3"/>
      <c r="J18" s="3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0.25" customHeight="1">
      <c r="A19" s="49">
        <v>4.0</v>
      </c>
      <c r="B19" s="50" t="s">
        <v>19</v>
      </c>
      <c r="C19" s="51"/>
      <c r="D19" s="52">
        <v>200.0</v>
      </c>
      <c r="E19" s="53">
        <v>10000.0</v>
      </c>
      <c r="F19" s="54">
        <f t="shared" si="1"/>
        <v>2000000</v>
      </c>
      <c r="G19" s="51"/>
      <c r="H19" s="55"/>
      <c r="I19" s="3"/>
      <c r="J19" s="3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0.25" customHeight="1">
      <c r="A20" s="56">
        <v>5.0</v>
      </c>
      <c r="B20" s="50" t="s">
        <v>20</v>
      </c>
      <c r="C20" s="51"/>
      <c r="D20" s="52">
        <v>210.0</v>
      </c>
      <c r="E20" s="53">
        <v>16500.0</v>
      </c>
      <c r="F20" s="54">
        <f t="shared" si="1"/>
        <v>3465000</v>
      </c>
      <c r="G20" s="51"/>
      <c r="H20" s="55"/>
      <c r="I20" s="3"/>
      <c r="J20" s="3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0.25" customHeight="1">
      <c r="A21" s="57"/>
      <c r="B21" s="58"/>
      <c r="C21" s="51"/>
      <c r="D21" s="59"/>
      <c r="E21" s="60"/>
      <c r="F21" s="54"/>
      <c r="G21" s="51"/>
      <c r="H21" s="55"/>
      <c r="I21" s="3"/>
      <c r="J21" s="3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0.25" customHeight="1">
      <c r="A22" s="57"/>
      <c r="B22" s="58"/>
      <c r="C22" s="51"/>
      <c r="D22" s="59"/>
      <c r="E22" s="60"/>
      <c r="F22" s="54"/>
      <c r="G22" s="51"/>
      <c r="H22" s="55"/>
      <c r="I22" s="3"/>
      <c r="J22" s="3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0.25" customHeight="1">
      <c r="A23" s="57"/>
      <c r="B23" s="58"/>
      <c r="C23" s="51"/>
      <c r="D23" s="59"/>
      <c r="E23" s="60"/>
      <c r="F23" s="54"/>
      <c r="G23" s="51"/>
      <c r="H23" s="55"/>
      <c r="I23" s="3"/>
      <c r="J23" s="3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0.25" customHeight="1">
      <c r="A24" s="57"/>
      <c r="B24" s="58"/>
      <c r="C24" s="51"/>
      <c r="D24" s="59"/>
      <c r="E24" s="60"/>
      <c r="F24" s="54"/>
      <c r="G24" s="51"/>
      <c r="H24" s="55"/>
      <c r="I24" s="3"/>
      <c r="J24" s="3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0.25" customHeight="1">
      <c r="A25" s="57"/>
      <c r="B25" s="58"/>
      <c r="C25" s="51"/>
      <c r="D25" s="59"/>
      <c r="E25" s="60"/>
      <c r="F25" s="61" t="s">
        <v>21</v>
      </c>
      <c r="G25" s="51"/>
      <c r="H25" s="55"/>
      <c r="I25" s="3"/>
      <c r="J25" s="3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0.25" customHeight="1">
      <c r="A26" s="57"/>
      <c r="B26" s="58"/>
      <c r="C26" s="51"/>
      <c r="D26" s="59"/>
      <c r="E26" s="60"/>
      <c r="F26" s="54"/>
      <c r="G26" s="51"/>
      <c r="H26" s="55"/>
      <c r="I26" s="3"/>
      <c r="J26" s="3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7.75" customHeight="1">
      <c r="A27" s="62" t="s">
        <v>22</v>
      </c>
      <c r="B27" s="39"/>
      <c r="C27" s="40"/>
      <c r="D27" s="63"/>
      <c r="E27" s="64"/>
      <c r="F27" s="65">
        <f>SUM(F16:G26)</f>
        <v>7291000</v>
      </c>
      <c r="G27" s="40"/>
      <c r="H27" s="66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ht="27.75" customHeight="1">
      <c r="A28" s="62"/>
      <c r="B28" s="39"/>
      <c r="C28" s="40"/>
      <c r="D28" s="63"/>
      <c r="E28" s="64"/>
      <c r="F28" s="65"/>
      <c r="G28" s="40"/>
      <c r="H28" s="66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ht="27.75" customHeight="1">
      <c r="A29" s="67" t="s">
        <v>23</v>
      </c>
      <c r="B29" s="39"/>
      <c r="C29" s="40"/>
      <c r="D29" s="68"/>
      <c r="E29" s="69"/>
      <c r="F29" s="70">
        <f>F27+F28</f>
        <v>7291000</v>
      </c>
      <c r="G29" s="40"/>
      <c r="H29" s="71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ht="27.75" customHeight="1">
      <c r="A30" s="72" t="s">
        <v>24</v>
      </c>
      <c r="B30" s="73"/>
      <c r="C30" s="28"/>
      <c r="D30" s="28"/>
      <c r="E30" s="28"/>
      <c r="F30" s="28"/>
      <c r="G30" s="28"/>
      <c r="H30" s="29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7.75" customHeight="1">
      <c r="A31" s="30"/>
      <c r="B31" s="31"/>
      <c r="H31" s="30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7.75" customHeight="1">
      <c r="A32" s="30"/>
      <c r="B32" s="31"/>
      <c r="H32" s="30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7.75" customHeight="1">
      <c r="A33" s="30"/>
      <c r="B33" s="31"/>
      <c r="H33" s="30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7.75" customHeight="1">
      <c r="A34" s="32"/>
      <c r="B34" s="33"/>
      <c r="C34" s="34"/>
      <c r="D34" s="34"/>
      <c r="E34" s="34"/>
      <c r="F34" s="34"/>
      <c r="G34" s="34"/>
      <c r="H34" s="32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5.5" customHeight="1">
      <c r="A35" s="74" t="s">
        <v>25</v>
      </c>
      <c r="B35" s="39"/>
      <c r="C35" s="39"/>
      <c r="D35" s="39"/>
      <c r="E35" s="39"/>
      <c r="F35" s="39"/>
      <c r="G35" s="39"/>
      <c r="H35" s="42"/>
      <c r="I35" s="75"/>
      <c r="J35" s="75"/>
      <c r="K35" s="76"/>
      <c r="L35" s="77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ht="13.5" customHeight="1">
      <c r="A36" s="78"/>
      <c r="I36" s="2"/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79"/>
      <c r="B37" s="79"/>
      <c r="C37" s="79"/>
      <c r="D37" s="79"/>
      <c r="E37" s="79"/>
      <c r="F37" s="79"/>
      <c r="G37" s="79"/>
      <c r="H37" s="79"/>
      <c r="I37" s="2"/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79"/>
      <c r="B38" s="79"/>
      <c r="C38" s="79"/>
      <c r="D38" s="79"/>
      <c r="E38" s="79"/>
      <c r="F38" s="79"/>
      <c r="G38" s="79"/>
      <c r="H38" s="79"/>
      <c r="I38" s="2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79"/>
      <c r="B39" s="79"/>
      <c r="C39" s="79"/>
      <c r="D39" s="79"/>
      <c r="E39" s="79"/>
      <c r="F39" s="79"/>
      <c r="G39" s="79"/>
      <c r="H39" s="79"/>
      <c r="I39" s="2"/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79"/>
      <c r="B40" s="79"/>
      <c r="C40" s="79"/>
      <c r="D40" s="79"/>
      <c r="E40" s="79"/>
      <c r="F40" s="79"/>
      <c r="G40" s="79"/>
      <c r="H40" s="79"/>
      <c r="I40" s="2"/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79"/>
      <c r="B41" s="79"/>
      <c r="C41" s="79"/>
      <c r="D41" s="79"/>
      <c r="E41" s="79"/>
      <c r="F41" s="79"/>
      <c r="G41" s="79"/>
      <c r="H41" s="79"/>
      <c r="I41" s="2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79"/>
      <c r="B42" s="79"/>
      <c r="C42" s="79"/>
      <c r="D42" s="79"/>
      <c r="E42" s="79"/>
      <c r="F42" s="79"/>
      <c r="G42" s="79"/>
      <c r="H42" s="79"/>
      <c r="I42" s="2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79"/>
      <c r="B43" s="79"/>
      <c r="C43" s="79"/>
      <c r="D43" s="79"/>
      <c r="E43" s="79"/>
      <c r="F43" s="79"/>
      <c r="G43" s="79"/>
      <c r="H43" s="79"/>
      <c r="I43" s="2"/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79"/>
      <c r="B44" s="79"/>
      <c r="C44" s="79"/>
      <c r="D44" s="79"/>
      <c r="E44" s="79"/>
      <c r="F44" s="79"/>
      <c r="G44" s="79"/>
      <c r="H44" s="79"/>
      <c r="I44" s="2"/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79"/>
      <c r="B45" s="79"/>
      <c r="C45" s="79"/>
      <c r="D45" s="79"/>
      <c r="E45" s="79"/>
      <c r="F45" s="79"/>
      <c r="G45" s="79"/>
      <c r="H45" s="79"/>
      <c r="I45" s="2"/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79"/>
      <c r="B46" s="79"/>
      <c r="C46" s="79"/>
      <c r="D46" s="79"/>
      <c r="E46" s="79"/>
      <c r="F46" s="79"/>
      <c r="G46" s="79"/>
      <c r="H46" s="79"/>
      <c r="I46" s="2"/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79"/>
      <c r="B47" s="79"/>
      <c r="C47" s="79"/>
      <c r="D47" s="79"/>
      <c r="E47" s="79"/>
      <c r="F47" s="79"/>
      <c r="G47" s="79"/>
      <c r="H47" s="79"/>
      <c r="I47" s="2"/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79"/>
      <c r="B48" s="79"/>
      <c r="C48" s="79"/>
      <c r="D48" s="79"/>
      <c r="E48" s="79"/>
      <c r="F48" s="79"/>
      <c r="G48" s="79"/>
      <c r="H48" s="79"/>
      <c r="I48" s="2"/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79"/>
      <c r="B49" s="79"/>
      <c r="C49" s="79"/>
      <c r="D49" s="79"/>
      <c r="E49" s="79"/>
      <c r="F49" s="79"/>
      <c r="G49" s="79"/>
      <c r="H49" s="79"/>
      <c r="I49" s="2"/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79"/>
      <c r="B50" s="79"/>
      <c r="C50" s="79"/>
      <c r="D50" s="79"/>
      <c r="E50" s="79"/>
      <c r="F50" s="79"/>
      <c r="G50" s="79"/>
      <c r="H50" s="79"/>
      <c r="I50" s="2"/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79"/>
      <c r="B51" s="79"/>
      <c r="C51" s="79"/>
      <c r="D51" s="79"/>
      <c r="E51" s="79"/>
      <c r="F51" s="79"/>
      <c r="G51" s="79"/>
      <c r="H51" s="79"/>
      <c r="I51" s="2"/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79"/>
      <c r="B52" s="79"/>
      <c r="C52" s="79"/>
      <c r="D52" s="79"/>
      <c r="E52" s="79"/>
      <c r="F52" s="79"/>
      <c r="G52" s="79"/>
      <c r="H52" s="79"/>
      <c r="I52" s="2"/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79"/>
      <c r="B53" s="79"/>
      <c r="C53" s="79"/>
      <c r="D53" s="79"/>
      <c r="E53" s="79"/>
      <c r="F53" s="79"/>
      <c r="G53" s="79"/>
      <c r="H53" s="79"/>
      <c r="I53" s="2"/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79"/>
      <c r="B54" s="79"/>
      <c r="C54" s="79"/>
      <c r="D54" s="79"/>
      <c r="E54" s="79"/>
      <c r="F54" s="79"/>
      <c r="G54" s="79"/>
      <c r="H54" s="79"/>
      <c r="I54" s="2"/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2"/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2"/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2"/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2"/>
      <c r="J58" s="3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2"/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2"/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2"/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2"/>
      <c r="J62" s="3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2"/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2"/>
      <c r="J64" s="3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2"/>
      <c r="J65" s="3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2"/>
      <c r="J66" s="3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2"/>
      <c r="J67" s="3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2"/>
      <c r="J68" s="3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2"/>
      <c r="J69" s="3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2"/>
      <c r="J70" s="3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2"/>
      <c r="J71" s="3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2"/>
      <c r="J72" s="3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2"/>
      <c r="J73" s="3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2"/>
      <c r="J74" s="3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2"/>
      <c r="J75" s="3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2"/>
      <c r="J76" s="3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2"/>
      <c r="J77" s="3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2"/>
      <c r="J78" s="3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2"/>
      <c r="J79" s="3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2"/>
      <c r="J80" s="3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2"/>
      <c r="J81" s="3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2"/>
      <c r="J82" s="3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2"/>
      <c r="J83" s="3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2"/>
      <c r="J84" s="3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2"/>
      <c r="J85" s="3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2"/>
      <c r="J86" s="3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2"/>
      <c r="J87" s="3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2"/>
      <c r="J88" s="3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2"/>
      <c r="J89" s="3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2"/>
      <c r="J90" s="3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2"/>
      <c r="J91" s="3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2"/>
      <c r="J92" s="3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2"/>
      <c r="J93" s="3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2"/>
      <c r="J94" s="3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2"/>
      <c r="J95" s="3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2"/>
      <c r="J96" s="3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2"/>
      <c r="J97" s="3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2"/>
      <c r="J98" s="3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2"/>
      <c r="J99" s="3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2"/>
      <c r="J100" s="3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2"/>
      <c r="J101" s="3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2"/>
      <c r="J102" s="3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2"/>
      <c r="J103" s="3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2"/>
      <c r="J104" s="3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2"/>
      <c r="J105" s="3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2"/>
      <c r="J106" s="3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2"/>
      <c r="J107" s="3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2"/>
      <c r="J108" s="3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2"/>
      <c r="J109" s="3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2"/>
      <c r="J110" s="3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2"/>
      <c r="J111" s="3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2"/>
      <c r="J112" s="3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2"/>
      <c r="J113" s="3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2"/>
      <c r="J114" s="3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2"/>
      <c r="J115" s="3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2"/>
      <c r="J116" s="3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2"/>
      <c r="J117" s="3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2"/>
      <c r="J118" s="3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2"/>
      <c r="J119" s="3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2"/>
      <c r="J120" s="3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2"/>
      <c r="J121" s="3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2"/>
      <c r="J122" s="3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2"/>
      <c r="J123" s="3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2"/>
      <c r="J124" s="3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2"/>
      <c r="J125" s="3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2"/>
      <c r="J126" s="3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2"/>
      <c r="J127" s="3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2"/>
      <c r="J128" s="3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2"/>
      <c r="J129" s="3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2"/>
      <c r="J130" s="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2"/>
      <c r="J131" s="3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2"/>
      <c r="J132" s="3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2"/>
      <c r="J133" s="3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2"/>
      <c r="J134" s="3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2"/>
      <c r="J135" s="3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2"/>
      <c r="J136" s="3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2"/>
      <c r="J137" s="3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2"/>
      <c r="J138" s="3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2"/>
      <c r="J139" s="3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2"/>
      <c r="J140" s="3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2"/>
      <c r="J141" s="3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2"/>
      <c r="J142" s="3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2"/>
      <c r="J143" s="3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2"/>
      <c r="J144" s="3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2"/>
      <c r="J145" s="3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2"/>
      <c r="J146" s="3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2"/>
      <c r="J147" s="3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2"/>
      <c r="J148" s="3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2"/>
      <c r="J149" s="3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2"/>
      <c r="J150" s="3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2"/>
      <c r="J151" s="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2"/>
      <c r="J152" s="3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2"/>
      <c r="J153" s="3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2"/>
      <c r="J154" s="3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2"/>
      <c r="J155" s="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2"/>
      <c r="J156" s="3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2"/>
      <c r="J157" s="3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2"/>
      <c r="J158" s="3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2"/>
      <c r="J159" s="3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2"/>
      <c r="J160" s="3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2"/>
      <c r="J161" s="3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2"/>
      <c r="J162" s="3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2"/>
      <c r="J163" s="3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2"/>
      <c r="J164" s="3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2"/>
      <c r="J165" s="3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2"/>
      <c r="J166" s="3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2"/>
      <c r="J167" s="3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2"/>
      <c r="J168" s="3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2"/>
      <c r="J169" s="3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2"/>
      <c r="J170" s="3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2"/>
      <c r="J171" s="3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2"/>
      <c r="J172" s="3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2"/>
      <c r="J173" s="3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2"/>
      <c r="J174" s="3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2"/>
      <c r="J175" s="3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2"/>
      <c r="J176" s="3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2"/>
      <c r="J177" s="3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2"/>
      <c r="J178" s="3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2"/>
      <c r="J179" s="3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2"/>
      <c r="J180" s="3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2"/>
      <c r="J181" s="3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2"/>
      <c r="J182" s="3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2"/>
      <c r="J183" s="3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2"/>
      <c r="J184" s="3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2"/>
      <c r="J185" s="3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2"/>
      <c r="J186" s="3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2"/>
      <c r="J187" s="3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2"/>
      <c r="J188" s="3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2"/>
      <c r="J189" s="3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2"/>
      <c r="J190" s="3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2"/>
      <c r="J191" s="3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2"/>
      <c r="J192" s="3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2"/>
      <c r="J193" s="3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2"/>
      <c r="J194" s="3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2"/>
      <c r="J195" s="3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2"/>
      <c r="J196" s="3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2"/>
      <c r="J197" s="3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2"/>
      <c r="J198" s="3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2"/>
      <c r="J199" s="3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2"/>
      <c r="J200" s="3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2"/>
      <c r="J201" s="3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2"/>
      <c r="J202" s="3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2"/>
      <c r="J203" s="3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2"/>
      <c r="J204" s="3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2"/>
      <c r="J205" s="3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2"/>
      <c r="J206" s="3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2"/>
      <c r="J207" s="3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2"/>
      <c r="J208" s="3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2"/>
      <c r="J209" s="3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2"/>
      <c r="J210" s="3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2"/>
      <c r="J211" s="3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2"/>
      <c r="J212" s="3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2"/>
      <c r="J213" s="3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2"/>
      <c r="J214" s="3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2"/>
      <c r="J215" s="3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2"/>
      <c r="J216" s="3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2"/>
      <c r="J217" s="3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2"/>
      <c r="J218" s="3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2"/>
      <c r="J219" s="3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2"/>
      <c r="J220" s="3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2"/>
      <c r="J221" s="3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2"/>
      <c r="J222" s="3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2"/>
      <c r="J223" s="3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2"/>
      <c r="J224" s="3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2"/>
      <c r="J225" s="3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2"/>
      <c r="J226" s="3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2"/>
      <c r="J227" s="3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2"/>
      <c r="J228" s="3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2"/>
      <c r="J229" s="3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2"/>
      <c r="J230" s="3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2"/>
      <c r="J231" s="3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2"/>
      <c r="J232" s="3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2"/>
      <c r="J233" s="3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2"/>
      <c r="J234" s="3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2"/>
      <c r="J235" s="3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2"/>
      <c r="J236" s="3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2"/>
      <c r="J237" s="3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2"/>
      <c r="J238" s="3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2"/>
      <c r="J239" s="3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2"/>
      <c r="J240" s="3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2"/>
      <c r="J241" s="3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2"/>
      <c r="J242" s="3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2"/>
      <c r="J243" s="3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2"/>
      <c r="J244" s="3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2"/>
      <c r="J245" s="3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2"/>
      <c r="J246" s="3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2"/>
      <c r="J247" s="3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2"/>
      <c r="J248" s="3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2"/>
      <c r="J249" s="3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2"/>
      <c r="J250" s="3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2"/>
      <c r="J251" s="3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2"/>
      <c r="J252" s="3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2"/>
      <c r="J253" s="3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2"/>
      <c r="J254" s="3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2"/>
      <c r="J255" s="3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2"/>
      <c r="J256" s="3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2"/>
      <c r="J257" s="3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2"/>
      <c r="J258" s="3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2"/>
      <c r="J259" s="3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2"/>
      <c r="J260" s="3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2"/>
      <c r="J261" s="3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2"/>
      <c r="J262" s="3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2"/>
      <c r="J263" s="3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2"/>
      <c r="J264" s="3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2"/>
      <c r="J265" s="3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2"/>
      <c r="J266" s="3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2"/>
      <c r="J267" s="3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2"/>
      <c r="J268" s="3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2"/>
      <c r="J269" s="3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2"/>
      <c r="J270" s="3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2"/>
      <c r="J271" s="3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2"/>
      <c r="J272" s="3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2"/>
      <c r="J273" s="3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2"/>
      <c r="J274" s="3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2"/>
      <c r="J275" s="3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2"/>
      <c r="J276" s="3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2"/>
      <c r="J277" s="3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2"/>
      <c r="J278" s="3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2"/>
      <c r="J279" s="3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2"/>
      <c r="J280" s="3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2"/>
      <c r="J281" s="3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2"/>
      <c r="J282" s="3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2"/>
      <c r="J283" s="3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2"/>
      <c r="J284" s="3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2"/>
      <c r="J285" s="3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2"/>
      <c r="J286" s="3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2"/>
      <c r="J287" s="3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2"/>
      <c r="J288" s="3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2"/>
      <c r="J289" s="3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2"/>
      <c r="J290" s="3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2"/>
      <c r="J291" s="3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2"/>
      <c r="J292" s="3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2"/>
      <c r="J293" s="3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2"/>
      <c r="J294" s="3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2"/>
      <c r="J295" s="3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2"/>
      <c r="J296" s="3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2"/>
      <c r="J297" s="3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2"/>
      <c r="J298" s="3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2"/>
      <c r="J299" s="3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2"/>
      <c r="J300" s="3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2"/>
      <c r="J301" s="3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2"/>
      <c r="J302" s="3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2"/>
      <c r="J303" s="3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2"/>
      <c r="J304" s="3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2"/>
      <c r="J305" s="3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2"/>
      <c r="J306" s="3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2"/>
      <c r="J307" s="3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2"/>
      <c r="J308" s="3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2"/>
      <c r="J309" s="3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2"/>
      <c r="J310" s="3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2"/>
      <c r="J311" s="3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2"/>
      <c r="J312" s="3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2"/>
      <c r="J313" s="3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2"/>
      <c r="J314" s="3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2"/>
      <c r="J315" s="3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2"/>
      <c r="J316" s="3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2"/>
      <c r="J317" s="3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2"/>
      <c r="J318" s="3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2"/>
      <c r="J319" s="3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2"/>
      <c r="J320" s="3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2"/>
      <c r="J321" s="3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2"/>
      <c r="J322" s="3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2"/>
      <c r="J323" s="3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2"/>
      <c r="J324" s="3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2"/>
      <c r="J325" s="3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2"/>
      <c r="J326" s="3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2"/>
      <c r="J327" s="3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2"/>
      <c r="J328" s="3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2"/>
      <c r="J329" s="3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2"/>
      <c r="J330" s="3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2"/>
      <c r="J331" s="3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2"/>
      <c r="J332" s="3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2"/>
      <c r="J333" s="3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2"/>
      <c r="J334" s="3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2"/>
      <c r="J335" s="3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2"/>
      <c r="J336" s="3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2"/>
      <c r="J337" s="3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2"/>
      <c r="J338" s="3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2"/>
      <c r="J339" s="3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2"/>
      <c r="J340" s="3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2"/>
      <c r="J341" s="3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2"/>
      <c r="J342" s="3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2"/>
      <c r="J343" s="3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2"/>
      <c r="J344" s="3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2"/>
      <c r="J345" s="3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2"/>
      <c r="J346" s="3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2"/>
      <c r="J347" s="3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2"/>
      <c r="J348" s="3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2"/>
      <c r="J349" s="3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2"/>
      <c r="J350" s="3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2"/>
      <c r="J351" s="3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2"/>
      <c r="J352" s="3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2"/>
      <c r="J353" s="3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2"/>
      <c r="J354" s="3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2"/>
      <c r="J355" s="3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2"/>
      <c r="J356" s="3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2"/>
      <c r="J357" s="3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2"/>
      <c r="J358" s="3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2"/>
      <c r="J359" s="3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2"/>
      <c r="J360" s="3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2"/>
      <c r="J361" s="3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2"/>
      <c r="J362" s="3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2"/>
      <c r="J363" s="3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2"/>
      <c r="J364" s="3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2"/>
      <c r="J365" s="3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2"/>
      <c r="J366" s="3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2"/>
      <c r="J367" s="3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2"/>
      <c r="J368" s="3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2"/>
      <c r="J369" s="3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2"/>
      <c r="J370" s="3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2"/>
      <c r="J371" s="3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2"/>
      <c r="J372" s="3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2"/>
      <c r="J373" s="3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2"/>
      <c r="J374" s="3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2"/>
      <c r="J375" s="3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2"/>
      <c r="J376" s="3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2"/>
      <c r="J377" s="3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2"/>
      <c r="J378" s="3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2"/>
      <c r="J379" s="3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2"/>
      <c r="J380" s="3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2"/>
      <c r="J381" s="3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2"/>
      <c r="J382" s="3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2"/>
      <c r="J383" s="3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2"/>
      <c r="J384" s="3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2"/>
      <c r="J385" s="3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2"/>
      <c r="J386" s="3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2"/>
      <c r="J387" s="3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2"/>
      <c r="J388" s="3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2"/>
      <c r="J389" s="3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2"/>
      <c r="J390" s="3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2"/>
      <c r="J391" s="3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2"/>
      <c r="J392" s="3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2"/>
      <c r="J393" s="3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2"/>
      <c r="J394" s="3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2"/>
      <c r="J395" s="3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2"/>
      <c r="J396" s="3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2"/>
      <c r="J397" s="3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2"/>
      <c r="J398" s="3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2"/>
      <c r="J399" s="3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2"/>
      <c r="J400" s="3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2"/>
      <c r="J401" s="3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2"/>
      <c r="J402" s="3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2"/>
      <c r="J403" s="3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2"/>
      <c r="J404" s="3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2"/>
      <c r="J405" s="3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2"/>
      <c r="J406" s="3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2"/>
      <c r="J407" s="3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2"/>
      <c r="J408" s="3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2"/>
      <c r="J409" s="3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2"/>
      <c r="J410" s="3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2"/>
      <c r="J411" s="3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2"/>
      <c r="J412" s="3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2"/>
      <c r="J413" s="3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2"/>
      <c r="J414" s="3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2"/>
      <c r="J415" s="3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2"/>
      <c r="J416" s="3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2"/>
      <c r="J417" s="3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2"/>
      <c r="J418" s="3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2"/>
      <c r="J419" s="3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2"/>
      <c r="J420" s="3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2"/>
      <c r="J421" s="3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2"/>
      <c r="J422" s="3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2"/>
      <c r="J423" s="3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2"/>
      <c r="J424" s="3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2"/>
      <c r="J425" s="3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2"/>
      <c r="J426" s="3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2"/>
      <c r="J427" s="3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2"/>
      <c r="J428" s="3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2"/>
      <c r="J429" s="3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2"/>
      <c r="J430" s="3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2"/>
      <c r="J431" s="3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2"/>
      <c r="J432" s="3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2"/>
      <c r="J433" s="3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2"/>
      <c r="J434" s="3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2"/>
      <c r="J435" s="3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2"/>
      <c r="J436" s="3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2"/>
      <c r="J437" s="3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2"/>
      <c r="J438" s="3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2"/>
      <c r="J439" s="3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2"/>
      <c r="J440" s="3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2"/>
      <c r="J441" s="3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2"/>
      <c r="J442" s="3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2"/>
      <c r="J443" s="3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2"/>
      <c r="J444" s="3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2"/>
      <c r="J445" s="3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2"/>
      <c r="J446" s="3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2"/>
      <c r="J447" s="3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2"/>
      <c r="J448" s="3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2"/>
      <c r="J449" s="3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2"/>
      <c r="J450" s="3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2"/>
      <c r="J451" s="3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2"/>
      <c r="J452" s="3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2"/>
      <c r="J453" s="3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2"/>
      <c r="J454" s="3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2"/>
      <c r="J455" s="3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2"/>
      <c r="J456" s="3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2"/>
      <c r="J457" s="3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2"/>
      <c r="J458" s="3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2"/>
      <c r="J459" s="3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2"/>
      <c r="J460" s="3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2"/>
      <c r="J461" s="3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2"/>
      <c r="J462" s="3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2"/>
      <c r="J463" s="3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2"/>
      <c r="J464" s="3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2"/>
      <c r="J465" s="3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2"/>
      <c r="J466" s="3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2"/>
      <c r="J467" s="3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2"/>
      <c r="J468" s="3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2"/>
      <c r="J469" s="3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2"/>
      <c r="J470" s="3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2"/>
      <c r="J471" s="3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2"/>
      <c r="J472" s="3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2"/>
      <c r="J473" s="3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2"/>
      <c r="J474" s="3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2"/>
      <c r="J475" s="3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2"/>
      <c r="J476" s="3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2"/>
      <c r="J477" s="3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2"/>
      <c r="J478" s="3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2"/>
      <c r="J479" s="3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2"/>
      <c r="J480" s="3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2"/>
      <c r="J481" s="3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2"/>
      <c r="J482" s="3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2"/>
      <c r="J483" s="3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2"/>
      <c r="J484" s="3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2"/>
      <c r="J485" s="3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2"/>
      <c r="J486" s="3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2"/>
      <c r="J487" s="3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2"/>
      <c r="J488" s="3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2"/>
      <c r="J489" s="3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2"/>
      <c r="J490" s="3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2"/>
      <c r="J491" s="3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2"/>
      <c r="J492" s="3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2"/>
      <c r="J493" s="3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2"/>
      <c r="J494" s="3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2"/>
      <c r="J495" s="3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2"/>
      <c r="J496" s="3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2"/>
      <c r="J497" s="3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2"/>
      <c r="J498" s="3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2"/>
      <c r="J499" s="3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2"/>
      <c r="J500" s="3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2"/>
      <c r="J501" s="3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2"/>
      <c r="J502" s="3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2"/>
      <c r="J503" s="3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2"/>
      <c r="J504" s="3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2"/>
      <c r="J505" s="3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2"/>
      <c r="J506" s="3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2"/>
      <c r="J507" s="3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2"/>
      <c r="J508" s="3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2"/>
      <c r="J509" s="3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2"/>
      <c r="J510" s="3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2"/>
      <c r="J511" s="3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2"/>
      <c r="J512" s="3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2"/>
      <c r="J513" s="3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2"/>
      <c r="J514" s="3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2"/>
      <c r="J515" s="3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2"/>
      <c r="J516" s="3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2"/>
      <c r="J517" s="3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2"/>
      <c r="J518" s="3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2"/>
      <c r="J519" s="3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2"/>
      <c r="J520" s="3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2"/>
      <c r="J521" s="3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2"/>
      <c r="J522" s="3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2"/>
      <c r="J523" s="3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2"/>
      <c r="J524" s="3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2"/>
      <c r="J525" s="3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2"/>
      <c r="J526" s="3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2"/>
      <c r="J527" s="3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2"/>
      <c r="J528" s="3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2"/>
      <c r="J529" s="3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2"/>
      <c r="J530" s="3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2"/>
      <c r="J531" s="3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2"/>
      <c r="J532" s="3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2"/>
      <c r="J533" s="3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2"/>
      <c r="J534" s="3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2"/>
      <c r="J535" s="3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2"/>
      <c r="J536" s="3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2"/>
      <c r="J537" s="3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2"/>
      <c r="J538" s="3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2"/>
      <c r="J539" s="3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2"/>
      <c r="J540" s="3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2"/>
      <c r="J541" s="3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2"/>
      <c r="J542" s="3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2"/>
      <c r="J543" s="3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2"/>
      <c r="J544" s="3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2"/>
      <c r="J545" s="3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2"/>
      <c r="J546" s="3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2"/>
      <c r="J547" s="3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2"/>
      <c r="J548" s="3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2"/>
      <c r="J549" s="3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2"/>
      <c r="J550" s="3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2"/>
      <c r="J551" s="3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2"/>
      <c r="J552" s="3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2"/>
      <c r="J553" s="3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2"/>
      <c r="J554" s="3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2"/>
      <c r="J555" s="3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2"/>
      <c r="J556" s="3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2"/>
      <c r="J557" s="3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2"/>
      <c r="J558" s="3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2"/>
      <c r="J559" s="3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2"/>
      <c r="J560" s="3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2"/>
      <c r="J561" s="3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2"/>
      <c r="J562" s="3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2"/>
      <c r="J563" s="3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2"/>
      <c r="J564" s="3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2"/>
      <c r="J565" s="3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2"/>
      <c r="J566" s="3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2"/>
      <c r="J567" s="3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2"/>
      <c r="J568" s="3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2"/>
      <c r="J569" s="3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2"/>
      <c r="J570" s="3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2"/>
      <c r="J571" s="3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2"/>
      <c r="J572" s="3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2"/>
      <c r="J573" s="3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2"/>
      <c r="J574" s="3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2"/>
      <c r="J575" s="3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2"/>
      <c r="J576" s="3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2"/>
      <c r="J577" s="3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2"/>
      <c r="J578" s="3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2"/>
      <c r="J579" s="3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2"/>
      <c r="J580" s="3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2"/>
      <c r="J581" s="3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2"/>
      <c r="J582" s="3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2"/>
      <c r="J583" s="3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2"/>
      <c r="J584" s="3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2"/>
      <c r="J585" s="3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2"/>
      <c r="J586" s="3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2"/>
      <c r="J587" s="3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2"/>
      <c r="J588" s="3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2"/>
      <c r="J589" s="3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2"/>
      <c r="J590" s="3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2"/>
      <c r="J591" s="3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2"/>
      <c r="J592" s="3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2"/>
      <c r="J593" s="3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2"/>
      <c r="J594" s="3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2"/>
      <c r="J595" s="3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2"/>
      <c r="J596" s="3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2"/>
      <c r="J597" s="3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2"/>
      <c r="J598" s="3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2"/>
      <c r="J599" s="3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2"/>
      <c r="J600" s="3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2"/>
      <c r="J601" s="3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2"/>
      <c r="J602" s="3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2"/>
      <c r="J603" s="3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2"/>
      <c r="J604" s="3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2"/>
      <c r="J605" s="3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2"/>
      <c r="J606" s="3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2"/>
      <c r="J607" s="3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2"/>
      <c r="J608" s="3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2"/>
      <c r="J609" s="3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2"/>
      <c r="J610" s="3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2"/>
      <c r="J611" s="3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2"/>
      <c r="J612" s="3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2"/>
      <c r="J613" s="3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2"/>
      <c r="J614" s="3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2"/>
      <c r="J615" s="3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2"/>
      <c r="J616" s="3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2"/>
      <c r="J617" s="3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2"/>
      <c r="J618" s="3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2"/>
      <c r="J619" s="3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2"/>
      <c r="J620" s="3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2"/>
      <c r="J621" s="3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2"/>
      <c r="J622" s="3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2"/>
      <c r="J623" s="3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2"/>
      <c r="J624" s="3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2"/>
      <c r="J625" s="3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2"/>
      <c r="J626" s="3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2"/>
      <c r="J627" s="3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2"/>
      <c r="J628" s="3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2"/>
      <c r="J629" s="3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2"/>
      <c r="J630" s="3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2"/>
      <c r="J631" s="3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2"/>
      <c r="J632" s="3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2"/>
      <c r="J633" s="3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2"/>
      <c r="J634" s="3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2"/>
      <c r="J635" s="3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2"/>
      <c r="J636" s="3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2"/>
      <c r="J637" s="3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2"/>
      <c r="J638" s="3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2"/>
      <c r="J639" s="3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2"/>
      <c r="J640" s="3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2"/>
      <c r="J641" s="3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2"/>
      <c r="J642" s="3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2"/>
      <c r="J643" s="3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2"/>
      <c r="J644" s="3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2"/>
      <c r="J645" s="3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2"/>
      <c r="J646" s="3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2"/>
      <c r="J647" s="3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2"/>
      <c r="J648" s="3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2"/>
      <c r="J649" s="3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2"/>
      <c r="J650" s="3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2"/>
      <c r="J651" s="3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2"/>
      <c r="J652" s="3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2"/>
      <c r="J653" s="3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2"/>
      <c r="J654" s="3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2"/>
      <c r="J655" s="3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2"/>
      <c r="J656" s="3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2"/>
      <c r="J657" s="3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2"/>
      <c r="J658" s="3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2"/>
      <c r="J659" s="3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2"/>
      <c r="J660" s="3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2"/>
      <c r="J661" s="3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2"/>
      <c r="J662" s="3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2"/>
      <c r="J663" s="3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2"/>
      <c r="J664" s="3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2"/>
      <c r="J665" s="3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2"/>
      <c r="J666" s="3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2"/>
      <c r="J667" s="3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2"/>
      <c r="J668" s="3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2"/>
      <c r="J669" s="3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2"/>
      <c r="J670" s="3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2"/>
      <c r="J671" s="3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2"/>
      <c r="J672" s="3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2"/>
      <c r="J673" s="3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2"/>
      <c r="J674" s="3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2"/>
      <c r="J675" s="3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2"/>
      <c r="J676" s="3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2"/>
      <c r="J677" s="3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2"/>
      <c r="J678" s="3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2"/>
      <c r="J679" s="3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2"/>
      <c r="J680" s="3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2"/>
      <c r="J681" s="3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2"/>
      <c r="J682" s="3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2"/>
      <c r="J683" s="3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2"/>
      <c r="J684" s="3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2"/>
      <c r="J685" s="3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2"/>
      <c r="J686" s="3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2"/>
      <c r="J687" s="3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2"/>
      <c r="J688" s="3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2"/>
      <c r="J689" s="3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2"/>
      <c r="J690" s="3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2"/>
      <c r="J691" s="3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2"/>
      <c r="J692" s="3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2"/>
      <c r="J693" s="3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2"/>
      <c r="J694" s="3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2"/>
      <c r="J695" s="3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2"/>
      <c r="J696" s="3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2"/>
      <c r="J697" s="3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2"/>
      <c r="J698" s="3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2"/>
      <c r="J699" s="3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2"/>
      <c r="J700" s="3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2"/>
      <c r="J701" s="3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2"/>
      <c r="J702" s="3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2"/>
      <c r="J703" s="3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2"/>
      <c r="J704" s="3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2"/>
      <c r="J705" s="3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2"/>
      <c r="J706" s="3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2"/>
      <c r="J707" s="3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2"/>
      <c r="J708" s="3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2"/>
      <c r="J709" s="3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2"/>
      <c r="J710" s="3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2"/>
      <c r="J711" s="3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2"/>
      <c r="J712" s="3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2"/>
      <c r="J713" s="3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2"/>
      <c r="J714" s="3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2"/>
      <c r="J715" s="3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2"/>
      <c r="J716" s="3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2"/>
      <c r="J717" s="3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2"/>
      <c r="J718" s="3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2"/>
      <c r="J719" s="3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2"/>
      <c r="J720" s="3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2"/>
      <c r="J721" s="3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2"/>
      <c r="J722" s="3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2"/>
      <c r="J723" s="3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2"/>
      <c r="J724" s="3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2"/>
      <c r="J725" s="3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2"/>
      <c r="J726" s="3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2"/>
      <c r="J727" s="3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2"/>
      <c r="J728" s="3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2"/>
      <c r="J729" s="3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2"/>
      <c r="J730" s="3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2"/>
      <c r="J731" s="3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2"/>
      <c r="J732" s="3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2"/>
      <c r="J733" s="3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2"/>
      <c r="J734" s="3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2"/>
      <c r="J735" s="3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2"/>
      <c r="J736" s="3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2"/>
      <c r="J737" s="3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2"/>
      <c r="J738" s="3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2"/>
      <c r="J739" s="3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2"/>
      <c r="J740" s="3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2"/>
      <c r="J741" s="3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2"/>
      <c r="J742" s="3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2"/>
      <c r="J743" s="3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2"/>
      <c r="J744" s="3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2"/>
      <c r="J745" s="3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2"/>
      <c r="J746" s="3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2"/>
      <c r="J747" s="3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2"/>
      <c r="J748" s="3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2"/>
      <c r="J749" s="3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2"/>
      <c r="J750" s="3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2"/>
      <c r="J751" s="3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2"/>
      <c r="J752" s="3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2"/>
      <c r="J753" s="3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2"/>
      <c r="J754" s="3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2"/>
      <c r="J755" s="3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2"/>
      <c r="J756" s="3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2"/>
      <c r="J757" s="3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2"/>
      <c r="J758" s="3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2"/>
      <c r="J759" s="3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2"/>
      <c r="J760" s="3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2"/>
      <c r="J761" s="3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2"/>
      <c r="J762" s="3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2"/>
      <c r="J763" s="3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2"/>
      <c r="J764" s="3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2"/>
      <c r="J765" s="3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2"/>
      <c r="J766" s="3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2"/>
      <c r="J767" s="3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2"/>
      <c r="J768" s="3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2"/>
      <c r="J769" s="3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2"/>
      <c r="J770" s="3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2"/>
      <c r="J771" s="3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2"/>
      <c r="J772" s="3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2"/>
      <c r="J773" s="3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2"/>
      <c r="J774" s="3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2"/>
      <c r="J775" s="3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2"/>
      <c r="J776" s="3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2"/>
      <c r="J777" s="3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2"/>
      <c r="J778" s="3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2"/>
      <c r="J779" s="3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2"/>
      <c r="J780" s="3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2"/>
      <c r="J781" s="3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2"/>
      <c r="J782" s="3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2"/>
      <c r="J783" s="3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2"/>
      <c r="J784" s="3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2"/>
      <c r="J785" s="3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2"/>
      <c r="J786" s="3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2"/>
      <c r="J787" s="3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2"/>
      <c r="J788" s="3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2"/>
      <c r="J789" s="3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2"/>
      <c r="J790" s="3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2"/>
      <c r="J791" s="3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2"/>
      <c r="J792" s="3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2"/>
      <c r="J793" s="3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2"/>
      <c r="J794" s="3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2"/>
      <c r="J795" s="3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2"/>
      <c r="J796" s="3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2"/>
      <c r="J797" s="3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2"/>
      <c r="J798" s="3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2"/>
      <c r="J799" s="3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2"/>
      <c r="J800" s="3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2"/>
      <c r="J801" s="3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2"/>
      <c r="J802" s="3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2"/>
      <c r="J803" s="3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2"/>
      <c r="J804" s="3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2"/>
      <c r="J805" s="3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2"/>
      <c r="J806" s="3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2"/>
      <c r="J807" s="3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2"/>
      <c r="J808" s="3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2"/>
      <c r="J809" s="3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2"/>
      <c r="J810" s="3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2"/>
      <c r="J811" s="3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2"/>
      <c r="J812" s="3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2"/>
      <c r="J813" s="3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2"/>
      <c r="J814" s="3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2"/>
      <c r="J815" s="3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2"/>
      <c r="J816" s="3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2"/>
      <c r="J817" s="3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2"/>
      <c r="J818" s="3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2"/>
      <c r="J819" s="3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2"/>
      <c r="J820" s="3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2"/>
      <c r="J821" s="3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2"/>
      <c r="J822" s="3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2"/>
      <c r="J823" s="3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2"/>
      <c r="J824" s="3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2"/>
      <c r="J825" s="3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2"/>
      <c r="J826" s="3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2"/>
      <c r="J827" s="3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2"/>
      <c r="J828" s="3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2"/>
      <c r="J829" s="3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2"/>
      <c r="J830" s="3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2"/>
      <c r="J831" s="3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2"/>
      <c r="J832" s="3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2"/>
      <c r="J833" s="3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2"/>
      <c r="J834" s="3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2"/>
      <c r="J835" s="3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2"/>
      <c r="J836" s="3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2"/>
      <c r="J837" s="3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2"/>
      <c r="J838" s="3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2"/>
      <c r="J839" s="3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2"/>
      <c r="J840" s="3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2"/>
      <c r="J841" s="3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2"/>
      <c r="J842" s="3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2"/>
      <c r="J843" s="3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2"/>
      <c r="J844" s="3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2"/>
      <c r="J845" s="3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2"/>
      <c r="J846" s="3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2"/>
      <c r="J847" s="3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2"/>
      <c r="J848" s="3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2"/>
      <c r="J849" s="3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2"/>
      <c r="J850" s="3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2"/>
      <c r="J851" s="3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2"/>
      <c r="J852" s="3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2"/>
      <c r="J853" s="3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2"/>
      <c r="J854" s="3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2"/>
      <c r="J855" s="3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2"/>
      <c r="J856" s="3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2"/>
      <c r="J857" s="3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2"/>
      <c r="J858" s="3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2"/>
      <c r="J859" s="3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2"/>
      <c r="J860" s="3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2"/>
      <c r="J861" s="3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2"/>
      <c r="J862" s="3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2"/>
      <c r="J863" s="3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2"/>
      <c r="J864" s="3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2"/>
      <c r="J865" s="3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2"/>
      <c r="J866" s="3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2"/>
      <c r="J867" s="3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2"/>
      <c r="J868" s="3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2"/>
      <c r="J869" s="3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2"/>
      <c r="J870" s="3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2"/>
      <c r="J871" s="3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2"/>
      <c r="J872" s="3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2"/>
      <c r="J873" s="3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2"/>
      <c r="J874" s="3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2"/>
      <c r="J875" s="3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2"/>
      <c r="J876" s="3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2"/>
      <c r="J877" s="3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2"/>
      <c r="J878" s="3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2"/>
      <c r="J879" s="3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2"/>
      <c r="J880" s="3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2"/>
      <c r="J881" s="3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2"/>
      <c r="J882" s="3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2"/>
      <c r="J883" s="3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2"/>
      <c r="J884" s="3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2"/>
      <c r="J885" s="3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2"/>
      <c r="J886" s="3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2"/>
      <c r="J887" s="3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2"/>
      <c r="J888" s="3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2"/>
      <c r="J889" s="3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2"/>
      <c r="J890" s="3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2"/>
      <c r="J891" s="3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2"/>
      <c r="J892" s="3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2"/>
      <c r="J893" s="3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2"/>
      <c r="J894" s="3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2"/>
      <c r="J895" s="3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2"/>
      <c r="J896" s="3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2"/>
      <c r="J897" s="3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2"/>
      <c r="J898" s="3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2"/>
      <c r="J899" s="3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2"/>
      <c r="J900" s="3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2"/>
      <c r="J901" s="3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2"/>
      <c r="J902" s="3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2"/>
      <c r="J903" s="3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2"/>
      <c r="J904" s="3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2"/>
      <c r="J905" s="3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2"/>
      <c r="J906" s="3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2"/>
      <c r="J907" s="3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2"/>
      <c r="J908" s="3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2"/>
      <c r="J909" s="3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2"/>
      <c r="J910" s="3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2"/>
      <c r="J911" s="3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2"/>
      <c r="J912" s="3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2"/>
      <c r="J913" s="3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2"/>
      <c r="J914" s="3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2"/>
      <c r="J915" s="3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2"/>
      <c r="J916" s="3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2"/>
      <c r="J917" s="3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2"/>
      <c r="J918" s="3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2"/>
      <c r="J919" s="3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2"/>
      <c r="J920" s="3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2"/>
      <c r="J921" s="3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2"/>
      <c r="J922" s="3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2"/>
      <c r="J923" s="3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2"/>
      <c r="J924" s="3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2"/>
      <c r="J925" s="3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2"/>
      <c r="J926" s="3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2"/>
      <c r="J927" s="3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2"/>
      <c r="J928" s="3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2"/>
      <c r="J929" s="3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2"/>
      <c r="J930" s="3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2"/>
      <c r="J931" s="3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2"/>
      <c r="J932" s="3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2"/>
      <c r="J933" s="3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2"/>
      <c r="J934" s="3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2"/>
      <c r="J935" s="3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2"/>
      <c r="J936" s="3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2"/>
      <c r="J937" s="3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2"/>
      <c r="J938" s="3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2"/>
      <c r="J939" s="3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2"/>
      <c r="J940" s="3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2"/>
      <c r="J941" s="3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2"/>
      <c r="J942" s="3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2"/>
      <c r="J943" s="3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2"/>
      <c r="J944" s="3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2"/>
      <c r="J945" s="3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2"/>
      <c r="J946" s="3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2"/>
      <c r="J947" s="3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2"/>
      <c r="J948" s="3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2"/>
      <c r="J949" s="3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2"/>
      <c r="J950" s="3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2"/>
      <c r="J951" s="3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2"/>
      <c r="J952" s="3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2"/>
      <c r="J953" s="3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2"/>
      <c r="J954" s="3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2"/>
      <c r="J955" s="3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2"/>
      <c r="J956" s="3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2"/>
      <c r="J957" s="3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2"/>
      <c r="J958" s="3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2"/>
      <c r="J959" s="3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2"/>
      <c r="J960" s="3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2"/>
      <c r="J961" s="3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2"/>
      <c r="J962" s="3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2"/>
      <c r="J963" s="3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2"/>
      <c r="J964" s="3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2"/>
      <c r="J965" s="3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2"/>
      <c r="J966" s="3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2"/>
      <c r="J967" s="3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2"/>
      <c r="J968" s="3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2"/>
      <c r="J969" s="3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2"/>
      <c r="J970" s="3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2"/>
      <c r="J971" s="3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2"/>
      <c r="J972" s="3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2"/>
      <c r="J973" s="3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2"/>
      <c r="J974" s="3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2"/>
      <c r="J975" s="3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2"/>
      <c r="J976" s="3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2"/>
      <c r="J977" s="3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2"/>
      <c r="J978" s="3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2"/>
      <c r="J979" s="3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2"/>
      <c r="J980" s="3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2"/>
      <c r="J981" s="3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2"/>
      <c r="J982" s="3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2"/>
      <c r="J983" s="3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2"/>
      <c r="J984" s="3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2"/>
      <c r="J985" s="3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2"/>
      <c r="J986" s="3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2"/>
      <c r="J987" s="3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2"/>
      <c r="J988" s="3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2"/>
      <c r="J989" s="3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2"/>
      <c r="J990" s="3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2"/>
      <c r="J991" s="3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2"/>
      <c r="J992" s="3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2"/>
      <c r="J993" s="3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2"/>
      <c r="J994" s="3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2"/>
      <c r="J995" s="3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2"/>
      <c r="J996" s="3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2"/>
      <c r="J997" s="3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2"/>
      <c r="J998" s="3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2"/>
      <c r="J999" s="3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2"/>
      <c r="J1000" s="3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3">
    <mergeCell ref="A1:H1"/>
    <mergeCell ref="C2:E4"/>
    <mergeCell ref="A6:H6"/>
    <mergeCell ref="A7:H7"/>
    <mergeCell ref="A8:A11"/>
    <mergeCell ref="B8:H11"/>
    <mergeCell ref="A12:H12"/>
    <mergeCell ref="C14:E14"/>
    <mergeCell ref="F14:H14"/>
    <mergeCell ref="A15:C15"/>
    <mergeCell ref="F15:G15"/>
    <mergeCell ref="F17:G17"/>
    <mergeCell ref="B17:C17"/>
    <mergeCell ref="F16:G16"/>
    <mergeCell ref="B16:C16"/>
    <mergeCell ref="B21:C21"/>
    <mergeCell ref="B22:C22"/>
    <mergeCell ref="B23:C23"/>
    <mergeCell ref="B20:C20"/>
    <mergeCell ref="B19:C19"/>
    <mergeCell ref="B18:C18"/>
    <mergeCell ref="F25:G25"/>
    <mergeCell ref="F26:G26"/>
    <mergeCell ref="F27:G27"/>
    <mergeCell ref="F28:G28"/>
    <mergeCell ref="F29:G29"/>
    <mergeCell ref="F21:G21"/>
    <mergeCell ref="F22:G22"/>
    <mergeCell ref="F23:G23"/>
    <mergeCell ref="F24:G24"/>
    <mergeCell ref="F20:G20"/>
    <mergeCell ref="F19:G19"/>
    <mergeCell ref="F18:G18"/>
    <mergeCell ref="B30:H34"/>
    <mergeCell ref="A35:H35"/>
    <mergeCell ref="A36:H36"/>
    <mergeCell ref="B24:C24"/>
    <mergeCell ref="B25:C25"/>
    <mergeCell ref="B26:C26"/>
    <mergeCell ref="A27:C27"/>
    <mergeCell ref="A28:C28"/>
    <mergeCell ref="A29:C29"/>
    <mergeCell ref="A30:A34"/>
  </mergeCells>
  <printOptions horizontalCentered="1" verticalCentered="1"/>
  <pageMargins bottom="0.3937007874015748" footer="0.0" header="0.0" left="0.35433070866141736" right="0.35433070866141736" top="0.3937007874015748"/>
  <pageSetup paperSize="9" scale="85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2025-05-19T02:18:37Z</dcterms:created>
  <dc:creator>Jooho Han</dc:creator>
</cp:coreProperties>
</file>